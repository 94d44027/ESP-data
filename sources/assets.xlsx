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mirnov/projects/ESP-data/sources/"/>
    </mc:Choice>
  </mc:AlternateContent>
  <xr:revisionPtr revIDLastSave="0" documentId="13_ncr:1_{956A0916-83E3-5745-9B98-1EB51CDDDC14}" xr6:coauthVersionLast="47" xr6:coauthVersionMax="47" xr10:uidLastSave="{00000000-0000-0000-0000-000000000000}"/>
  <bookViews>
    <workbookView xWindow="5200" yWindow="740" windowWidth="62680" windowHeight="21600" activeTab="2" xr2:uid="{4E2B20D2-0079-C140-9504-40107BED6CE0}"/>
  </bookViews>
  <sheets>
    <sheet name="Assets" sheetId="1" r:id="rId1"/>
    <sheet name="OS_types" sheetId="4" r:id="rId2"/>
    <sheet name="Platforms" sheetId="24" r:id="rId3"/>
    <sheet name="Params" sheetId="2" r:id="rId4"/>
    <sheet name="Device_Types" sheetId="3" r:id="rId5"/>
    <sheet name="Segments" sheetId="6" r:id="rId6"/>
    <sheet name="Network" sheetId="5" r:id="rId7"/>
    <sheet name="DB Script - Connects" sheetId="23" r:id="rId8"/>
    <sheet name="Mitigations" sheetId="21" r:id="rId9"/>
    <sheet name="DB_Script - Mitigations" sheetId="22" r:id="rId10"/>
  </sheets>
  <definedNames>
    <definedName name="_xlnm._FilterDatabase" localSheetId="6" hidden="1">Network!$A$2:$A$604</definedName>
    <definedName name="INSERT1">Params!$C$4</definedName>
    <definedName name="INSERT10">Params!$C$21</definedName>
    <definedName name="INSERT11">Params!$C$23</definedName>
    <definedName name="INSERT12">Params!$C$25</definedName>
    <definedName name="INSERT2">Params!$C$5</definedName>
    <definedName name="INSERT3">Params!$C$7</definedName>
    <definedName name="INSERT4">Params!$C$9</definedName>
    <definedName name="INSERT5">Params!$C$11</definedName>
    <definedName name="INSERT6">Params!$C$13</definedName>
    <definedName name="INSERT7">Params!$C$15</definedName>
    <definedName name="INSERT8">Params!$C$17</definedName>
    <definedName name="INSERT9">Params!$C$19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" l="1"/>
  <c r="J7" i="4"/>
  <c r="J8" i="4"/>
  <c r="J9" i="4"/>
  <c r="J10" i="4"/>
  <c r="J11" i="4"/>
  <c r="I7" i="4"/>
  <c r="I8" i="4"/>
  <c r="I9" i="4"/>
  <c r="I10" i="4"/>
  <c r="I11" i="4"/>
  <c r="I6" i="4"/>
  <c r="F5" i="24"/>
  <c r="F6" i="24"/>
  <c r="F7" i="24"/>
  <c r="F8" i="24"/>
  <c r="F9" i="24"/>
  <c r="F10" i="24"/>
  <c r="F11" i="24"/>
  <c r="F12" i="24"/>
  <c r="F13" i="24"/>
  <c r="F14" i="24"/>
  <c r="F15" i="24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 s="1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B582" i="5"/>
  <c r="C582" i="5" s="1"/>
  <c r="A1" i="22" a="1"/>
  <c r="A1" i="22" s="1"/>
  <c r="I605" i="5"/>
  <c r="CK28" i="21" a="1"/>
  <c r="CK28" i="21" s="1"/>
  <c r="CJ28" i="21" a="1"/>
  <c r="CJ28" i="21"/>
  <c r="CI28" i="21" a="1"/>
  <c r="CI28" i="21" s="1"/>
  <c r="CH28" i="21" a="1"/>
  <c r="CH28" i="21" s="1"/>
  <c r="CG28" i="21" a="1"/>
  <c r="CG28" i="21" s="1"/>
  <c r="CF28" i="21" a="1"/>
  <c r="CF28" i="21" s="1"/>
  <c r="CE28" i="21" a="1"/>
  <c r="CE28" i="21" s="1"/>
  <c r="CD28" i="21" a="1"/>
  <c r="CD28" i="21" s="1"/>
  <c r="CC28" i="21" a="1"/>
  <c r="CC28" i="21" s="1"/>
  <c r="CB28" i="21" a="1"/>
  <c r="CB28" i="21" s="1"/>
  <c r="CA28" i="21" a="1"/>
  <c r="CA28" i="21" s="1"/>
  <c r="BZ28" i="21" a="1"/>
  <c r="BZ28" i="21" s="1"/>
  <c r="BY28" i="21" a="1"/>
  <c r="BY28" i="21" s="1"/>
  <c r="BX28" i="21" a="1"/>
  <c r="BX28" i="21" s="1"/>
  <c r="BW28" i="21" a="1"/>
  <c r="BW28" i="21" s="1"/>
  <c r="BV28" i="21" a="1"/>
  <c r="BV28" i="21" s="1"/>
  <c r="BU28" i="21" a="1"/>
  <c r="BU28" i="21" s="1"/>
  <c r="BT28" i="21" a="1"/>
  <c r="BT28" i="21" s="1"/>
  <c r="BS28" i="21" a="1"/>
  <c r="BS28" i="21" s="1"/>
  <c r="BR28" i="21" a="1"/>
  <c r="BR28" i="21" s="1"/>
  <c r="BQ28" i="21" a="1"/>
  <c r="BQ28" i="21" s="1"/>
  <c r="BP28" i="21" a="1"/>
  <c r="BP28" i="21" s="1"/>
  <c r="BO28" i="21" a="1"/>
  <c r="BO28" i="21" s="1"/>
  <c r="BN28" i="21" a="1"/>
  <c r="BN28" i="21" s="1"/>
  <c r="BM28" i="21" a="1"/>
  <c r="BM28" i="21" s="1"/>
  <c r="BL28" i="21" a="1"/>
  <c r="BL28" i="21" s="1"/>
  <c r="BK28" i="21" a="1"/>
  <c r="BK28" i="21" s="1"/>
  <c r="BJ28" i="21" a="1"/>
  <c r="BJ28" i="21" s="1"/>
  <c r="BI28" i="21" a="1"/>
  <c r="BI28" i="21" s="1"/>
  <c r="BH28" i="21" a="1"/>
  <c r="BH28" i="21" s="1"/>
  <c r="BG28" i="21" a="1"/>
  <c r="BG28" i="21" s="1"/>
  <c r="BF28" i="21" a="1"/>
  <c r="BF28" i="21" s="1"/>
  <c r="BE28" i="21" a="1"/>
  <c r="BE28" i="21" s="1"/>
  <c r="BD28" i="21" a="1"/>
  <c r="BD28" i="21" s="1"/>
  <c r="BC28" i="21" a="1"/>
  <c r="BC28" i="21" s="1"/>
  <c r="BB28" i="21" a="1"/>
  <c r="BB28" i="21" s="1"/>
  <c r="BA28" i="21" a="1"/>
  <c r="BA28" i="21" s="1"/>
  <c r="AZ28" i="21" a="1"/>
  <c r="AZ28" i="21" s="1"/>
  <c r="AY28" i="21" a="1"/>
  <c r="AY28" i="21" s="1"/>
  <c r="AX28" i="21" a="1"/>
  <c r="AX28" i="21" s="1"/>
  <c r="AW28" i="21" a="1"/>
  <c r="AW28" i="21" s="1"/>
  <c r="AV28" i="21" a="1"/>
  <c r="AV28" i="21" s="1"/>
  <c r="AU28" i="21" a="1"/>
  <c r="AU28" i="21" s="1"/>
  <c r="CK27" i="21" a="1"/>
  <c r="CK27" i="21" s="1"/>
  <c r="CJ27" i="21" a="1"/>
  <c r="CJ27" i="21" s="1"/>
  <c r="CI27" i="21" a="1"/>
  <c r="CI27" i="21" s="1"/>
  <c r="CH27" i="21" a="1"/>
  <c r="CH27" i="21" s="1"/>
  <c r="CG27" i="21" a="1"/>
  <c r="CG27" i="21" s="1"/>
  <c r="CF27" i="21" a="1"/>
  <c r="CF27" i="21" s="1"/>
  <c r="CE27" i="21" a="1"/>
  <c r="CE27" i="21" s="1"/>
  <c r="CD27" i="21" a="1"/>
  <c r="CD27" i="21" s="1"/>
  <c r="CC27" i="21" a="1"/>
  <c r="CC27" i="21" s="1"/>
  <c r="CB27" i="21" a="1"/>
  <c r="CB27" i="21" s="1"/>
  <c r="CA27" i="21" a="1"/>
  <c r="CA27" i="21" s="1"/>
  <c r="BZ27" i="21" a="1"/>
  <c r="BZ27" i="21" s="1"/>
  <c r="BY27" i="21" a="1"/>
  <c r="BY27" i="21" s="1"/>
  <c r="BX27" i="21" a="1"/>
  <c r="BX27" i="21" s="1"/>
  <c r="BW27" i="21" a="1"/>
  <c r="BW27" i="21" s="1"/>
  <c r="BV27" i="21" a="1"/>
  <c r="BV27" i="21" s="1"/>
  <c r="BU27" i="21" a="1"/>
  <c r="BU27" i="21" s="1"/>
  <c r="BT27" i="21" a="1"/>
  <c r="BT27" i="21" s="1"/>
  <c r="BS27" i="21" a="1"/>
  <c r="BS27" i="21" s="1"/>
  <c r="BR27" i="21" a="1"/>
  <c r="BR27" i="21" s="1"/>
  <c r="BQ27" i="21" a="1"/>
  <c r="BQ27" i="21" s="1"/>
  <c r="BP27" i="21" a="1"/>
  <c r="BP27" i="21" s="1"/>
  <c r="BO27" i="21" a="1"/>
  <c r="BO27" i="21" s="1"/>
  <c r="BN27" i="21" a="1"/>
  <c r="BN27" i="21" s="1"/>
  <c r="BM27" i="21" a="1"/>
  <c r="BM27" i="21" s="1"/>
  <c r="BL27" i="21" a="1"/>
  <c r="BL27" i="21" s="1"/>
  <c r="BK27" i="21" a="1"/>
  <c r="BK27" i="21" s="1"/>
  <c r="BJ27" i="21" a="1"/>
  <c r="BJ27" i="21" s="1"/>
  <c r="BI27" i="21" a="1"/>
  <c r="BI27" i="21" s="1"/>
  <c r="BH27" i="21" a="1"/>
  <c r="BH27" i="21" s="1"/>
  <c r="BG27" i="21" a="1"/>
  <c r="BG27" i="21" s="1"/>
  <c r="BF27" i="21" a="1"/>
  <c r="BF27" i="21" s="1"/>
  <c r="BE27" i="21" a="1"/>
  <c r="BE27" i="21" s="1"/>
  <c r="BD27" i="21" a="1"/>
  <c r="BD27" i="21" s="1"/>
  <c r="BC27" i="21" a="1"/>
  <c r="BC27" i="21" s="1"/>
  <c r="BB27" i="21" a="1"/>
  <c r="BB27" i="21" s="1"/>
  <c r="BA27" i="21" a="1"/>
  <c r="BA27" i="21" s="1"/>
  <c r="AZ27" i="21" a="1"/>
  <c r="AZ27" i="21" s="1"/>
  <c r="AY27" i="21" a="1"/>
  <c r="AY27" i="21" s="1"/>
  <c r="AX27" i="21" a="1"/>
  <c r="AX27" i="21" s="1"/>
  <c r="AW27" i="21" a="1"/>
  <c r="AW27" i="21" s="1"/>
  <c r="AV27" i="21" a="1"/>
  <c r="AV27" i="21" s="1"/>
  <c r="AU27" i="21" a="1"/>
  <c r="AU27" i="21" s="1"/>
  <c r="CK26" i="21" a="1"/>
  <c r="CK26" i="21" s="1"/>
  <c r="CJ26" i="21" a="1"/>
  <c r="CJ26" i="21" s="1"/>
  <c r="CI26" i="21" a="1"/>
  <c r="CI26" i="21" s="1"/>
  <c r="CH26" i="21" a="1"/>
  <c r="CH26" i="21" s="1"/>
  <c r="CG26" i="21" a="1"/>
  <c r="CG26" i="21" s="1"/>
  <c r="CF26" i="21" a="1"/>
  <c r="CF26" i="21" s="1"/>
  <c r="CE26" i="21" a="1"/>
  <c r="CE26" i="21" s="1"/>
  <c r="CD26" i="21" a="1"/>
  <c r="CD26" i="21" s="1"/>
  <c r="CC26" i="21" a="1"/>
  <c r="CC26" i="21" s="1"/>
  <c r="CB26" i="21" a="1"/>
  <c r="CB26" i="21" s="1"/>
  <c r="CA26" i="21" a="1"/>
  <c r="CA26" i="21" s="1"/>
  <c r="BZ26" i="21" a="1"/>
  <c r="BZ26" i="21" s="1"/>
  <c r="BY26" i="21" a="1"/>
  <c r="BY26" i="21" s="1"/>
  <c r="BX26" i="21" a="1"/>
  <c r="BX26" i="21" s="1"/>
  <c r="BW26" i="21" a="1"/>
  <c r="BW26" i="21" s="1"/>
  <c r="BV26" i="21" a="1"/>
  <c r="BV26" i="21" s="1"/>
  <c r="BU26" i="21" a="1"/>
  <c r="BU26" i="21" s="1"/>
  <c r="BT26" i="21" a="1"/>
  <c r="BT26" i="21" s="1"/>
  <c r="BS26" i="21" a="1"/>
  <c r="BS26" i="21" s="1"/>
  <c r="BR26" i="21" a="1"/>
  <c r="BR26" i="21" s="1"/>
  <c r="BQ26" i="21" a="1"/>
  <c r="BQ26" i="21" s="1"/>
  <c r="BP26" i="21" a="1"/>
  <c r="BP26" i="21" s="1"/>
  <c r="BO26" i="21" a="1"/>
  <c r="BO26" i="21" s="1"/>
  <c r="BN26" i="21" a="1"/>
  <c r="BN26" i="21" s="1"/>
  <c r="BM26" i="21" a="1"/>
  <c r="BM26" i="21" s="1"/>
  <c r="BL26" i="21" a="1"/>
  <c r="BL26" i="21" s="1"/>
  <c r="BK26" i="21" a="1"/>
  <c r="BK26" i="21" s="1"/>
  <c r="BJ26" i="21" a="1"/>
  <c r="BJ26" i="21" s="1"/>
  <c r="BI26" i="21" a="1"/>
  <c r="BI26" i="21" s="1"/>
  <c r="BH26" i="21" a="1"/>
  <c r="BH26" i="21" s="1"/>
  <c r="BG26" i="21" a="1"/>
  <c r="BG26" i="21" s="1"/>
  <c r="BF26" i="21" a="1"/>
  <c r="BF26" i="21" s="1"/>
  <c r="BE26" i="21" a="1"/>
  <c r="BE26" i="21" s="1"/>
  <c r="BD26" i="21" a="1"/>
  <c r="BD26" i="21" s="1"/>
  <c r="BC26" i="21" a="1"/>
  <c r="BC26" i="21" s="1"/>
  <c r="BB26" i="21" a="1"/>
  <c r="BB26" i="21" s="1"/>
  <c r="BA26" i="21" a="1"/>
  <c r="BA26" i="21" s="1"/>
  <c r="AZ26" i="21" a="1"/>
  <c r="AZ26" i="21" s="1"/>
  <c r="AY26" i="21" a="1"/>
  <c r="AY26" i="21" s="1"/>
  <c r="AX26" i="21" a="1"/>
  <c r="AX26" i="21" s="1"/>
  <c r="AW26" i="21" a="1"/>
  <c r="AW26" i="21" s="1"/>
  <c r="AV26" i="21" a="1"/>
  <c r="AV26" i="21" s="1"/>
  <c r="AU26" i="21" a="1"/>
  <c r="AU26" i="21" s="1"/>
  <c r="CK25" i="21" a="1"/>
  <c r="CK25" i="21" s="1"/>
  <c r="CJ25" i="21" a="1"/>
  <c r="CJ25" i="21" s="1"/>
  <c r="CI25" i="21" a="1"/>
  <c r="CI25" i="21" s="1"/>
  <c r="CH25" i="21" a="1"/>
  <c r="CH25" i="21" s="1"/>
  <c r="CG25" i="21" a="1"/>
  <c r="CG25" i="21" s="1"/>
  <c r="CF25" i="21" a="1"/>
  <c r="CF25" i="21" s="1"/>
  <c r="CE25" i="21" a="1"/>
  <c r="CE25" i="21" s="1"/>
  <c r="CD25" i="21" a="1"/>
  <c r="CD25" i="21" s="1"/>
  <c r="CC25" i="21" a="1"/>
  <c r="CC25" i="21" s="1"/>
  <c r="CB25" i="21" a="1"/>
  <c r="CB25" i="21" s="1"/>
  <c r="CA25" i="21" a="1"/>
  <c r="CA25" i="21" s="1"/>
  <c r="BZ25" i="21" a="1"/>
  <c r="BZ25" i="21" s="1"/>
  <c r="BY25" i="21" a="1"/>
  <c r="BY25" i="21" s="1"/>
  <c r="BX25" i="21" a="1"/>
  <c r="BX25" i="21" s="1"/>
  <c r="BW25" i="21" a="1"/>
  <c r="BW25" i="21" s="1"/>
  <c r="BV25" i="21" a="1"/>
  <c r="BV25" i="21" s="1"/>
  <c r="BU25" i="21" a="1"/>
  <c r="BU25" i="21" s="1"/>
  <c r="BT25" i="21" a="1"/>
  <c r="BT25" i="21" s="1"/>
  <c r="BS25" i="21" a="1"/>
  <c r="BS25" i="21" s="1"/>
  <c r="BR25" i="21" a="1"/>
  <c r="BR25" i="21" s="1"/>
  <c r="BQ25" i="21" a="1"/>
  <c r="BQ25" i="21" s="1"/>
  <c r="BP25" i="21" a="1"/>
  <c r="BP25" i="21" s="1"/>
  <c r="BO25" i="21" a="1"/>
  <c r="BO25" i="21" s="1"/>
  <c r="BN25" i="21" a="1"/>
  <c r="BN25" i="21" s="1"/>
  <c r="BM25" i="21" a="1"/>
  <c r="BM25" i="21" s="1"/>
  <c r="BL25" i="21" a="1"/>
  <c r="BL25" i="21" s="1"/>
  <c r="BK25" i="21" a="1"/>
  <c r="BK25" i="21" s="1"/>
  <c r="BJ25" i="21" a="1"/>
  <c r="BJ25" i="21" s="1"/>
  <c r="BI25" i="21" a="1"/>
  <c r="BI25" i="21" s="1"/>
  <c r="BH25" i="21" a="1"/>
  <c r="BH25" i="21" s="1"/>
  <c r="BG25" i="21" a="1"/>
  <c r="BG25" i="21" s="1"/>
  <c r="BF25" i="21" a="1"/>
  <c r="BF25" i="21" s="1"/>
  <c r="BE25" i="21" a="1"/>
  <c r="BE25" i="21" s="1"/>
  <c r="BD25" i="21" a="1"/>
  <c r="BD25" i="21" s="1"/>
  <c r="BC25" i="21" a="1"/>
  <c r="BC25" i="21" s="1"/>
  <c r="BB25" i="21" a="1"/>
  <c r="BB25" i="21" s="1"/>
  <c r="BA25" i="21" a="1"/>
  <c r="BA25" i="21" s="1"/>
  <c r="AZ25" i="21" a="1"/>
  <c r="AZ25" i="21" s="1"/>
  <c r="AY25" i="21" a="1"/>
  <c r="AY25" i="21" s="1"/>
  <c r="AX25" i="21" a="1"/>
  <c r="AX25" i="21" s="1"/>
  <c r="AW25" i="21" a="1"/>
  <c r="AW25" i="21" s="1"/>
  <c r="AV25" i="21" a="1"/>
  <c r="AV25" i="21" s="1"/>
  <c r="AU25" i="21" a="1"/>
  <c r="AU25" i="21" s="1"/>
  <c r="CK24" i="21" a="1"/>
  <c r="CK24" i="21" s="1"/>
  <c r="CJ24" i="21" a="1"/>
  <c r="CJ24" i="21" s="1"/>
  <c r="CI24" i="21" a="1"/>
  <c r="CI24" i="21" s="1"/>
  <c r="CH24" i="21" a="1"/>
  <c r="CH24" i="21" s="1"/>
  <c r="CG24" i="21" a="1"/>
  <c r="CG24" i="21" s="1"/>
  <c r="CF24" i="21" a="1"/>
  <c r="CF24" i="21" s="1"/>
  <c r="CE24" i="21" a="1"/>
  <c r="CE24" i="21" s="1"/>
  <c r="CD24" i="21" a="1"/>
  <c r="CD24" i="21" s="1"/>
  <c r="CC24" i="21" a="1"/>
  <c r="CC24" i="21" s="1"/>
  <c r="CB24" i="21" a="1"/>
  <c r="CB24" i="21" s="1"/>
  <c r="CA24" i="21" a="1"/>
  <c r="CA24" i="21" s="1"/>
  <c r="BZ24" i="21" a="1"/>
  <c r="BZ24" i="21" s="1"/>
  <c r="BY24" i="21" a="1"/>
  <c r="BY24" i="21" s="1"/>
  <c r="BX24" i="21" a="1"/>
  <c r="BX24" i="21" s="1"/>
  <c r="BW24" i="21" a="1"/>
  <c r="BW24" i="21" s="1"/>
  <c r="BV24" i="21" a="1"/>
  <c r="BV24" i="21" s="1"/>
  <c r="BU24" i="21" a="1"/>
  <c r="BU24" i="21" s="1"/>
  <c r="BT24" i="21" a="1"/>
  <c r="BT24" i="21" s="1"/>
  <c r="BS24" i="21" a="1"/>
  <c r="BS24" i="21" s="1"/>
  <c r="BR24" i="21" a="1"/>
  <c r="BR24" i="21" s="1"/>
  <c r="BQ24" i="21" a="1"/>
  <c r="BQ24" i="21" s="1"/>
  <c r="BP24" i="21" a="1"/>
  <c r="BP24" i="21" s="1"/>
  <c r="BO24" i="21" a="1"/>
  <c r="BO24" i="21" s="1"/>
  <c r="BN24" i="21" a="1"/>
  <c r="BN24" i="21" s="1"/>
  <c r="BM24" i="21" a="1"/>
  <c r="BM24" i="21" s="1"/>
  <c r="BL24" i="21" a="1"/>
  <c r="BL24" i="21" s="1"/>
  <c r="BK24" i="21" a="1"/>
  <c r="BK24" i="21" s="1"/>
  <c r="BJ24" i="21" a="1"/>
  <c r="BJ24" i="21" s="1"/>
  <c r="BI24" i="21" a="1"/>
  <c r="BI24" i="21" s="1"/>
  <c r="BH24" i="21" a="1"/>
  <c r="BH24" i="21" s="1"/>
  <c r="BG24" i="21" a="1"/>
  <c r="BG24" i="21" s="1"/>
  <c r="BF24" i="21" a="1"/>
  <c r="BF24" i="21" s="1"/>
  <c r="BE24" i="21" a="1"/>
  <c r="BE24" i="21" s="1"/>
  <c r="BD24" i="21" a="1"/>
  <c r="BD24" i="21" s="1"/>
  <c r="BC24" i="21" a="1"/>
  <c r="BC24" i="21" s="1"/>
  <c r="BB24" i="21" a="1"/>
  <c r="BB24" i="21" s="1"/>
  <c r="BA24" i="21" a="1"/>
  <c r="BA24" i="21" s="1"/>
  <c r="AZ24" i="21" a="1"/>
  <c r="AZ24" i="21" s="1"/>
  <c r="AY24" i="21" a="1"/>
  <c r="AY24" i="21" s="1"/>
  <c r="AX24" i="21" a="1"/>
  <c r="AX24" i="21" s="1"/>
  <c r="AW24" i="21" a="1"/>
  <c r="AW24" i="21" s="1"/>
  <c r="AV24" i="21" a="1"/>
  <c r="AV24" i="21" s="1"/>
  <c r="AU24" i="21" a="1"/>
  <c r="AU24" i="21" s="1"/>
  <c r="CK23" i="21" a="1"/>
  <c r="CK23" i="21" s="1"/>
  <c r="CJ23" i="21" a="1"/>
  <c r="CJ23" i="21" s="1"/>
  <c r="CI23" i="21" a="1"/>
  <c r="CI23" i="21" s="1"/>
  <c r="CH23" i="21" a="1"/>
  <c r="CH23" i="21" s="1"/>
  <c r="CG23" i="21" a="1"/>
  <c r="CG23" i="21" s="1"/>
  <c r="CF23" i="21" a="1"/>
  <c r="CF23" i="21" s="1"/>
  <c r="CE23" i="21" a="1"/>
  <c r="CE23" i="21" s="1"/>
  <c r="CD23" i="21" a="1"/>
  <c r="CD23" i="21" s="1"/>
  <c r="CC23" i="21" a="1"/>
  <c r="CC23" i="21" s="1"/>
  <c r="CB23" i="21" a="1"/>
  <c r="CB23" i="21" s="1"/>
  <c r="CA23" i="21" a="1"/>
  <c r="CA23" i="21" s="1"/>
  <c r="BZ23" i="21" a="1"/>
  <c r="BZ23" i="21" s="1"/>
  <c r="BY23" i="21" a="1"/>
  <c r="BY23" i="21" s="1"/>
  <c r="BX23" i="21" a="1"/>
  <c r="BX23" i="21" s="1"/>
  <c r="BW23" i="21" a="1"/>
  <c r="BW23" i="21" s="1"/>
  <c r="BV23" i="21" a="1"/>
  <c r="BV23" i="21" s="1"/>
  <c r="BU23" i="21" a="1"/>
  <c r="BU23" i="21" s="1"/>
  <c r="BT23" i="21" a="1"/>
  <c r="BT23" i="21" s="1"/>
  <c r="BS23" i="21" a="1"/>
  <c r="BS23" i="21" s="1"/>
  <c r="BR23" i="21" a="1"/>
  <c r="BR23" i="21" s="1"/>
  <c r="BQ23" i="21" a="1"/>
  <c r="BQ23" i="21" s="1"/>
  <c r="BP23" i="21" a="1"/>
  <c r="BP23" i="21" s="1"/>
  <c r="BO23" i="21" a="1"/>
  <c r="BO23" i="21" s="1"/>
  <c r="BN23" i="21" a="1"/>
  <c r="BN23" i="21" s="1"/>
  <c r="BM23" i="21" a="1"/>
  <c r="BM23" i="21" s="1"/>
  <c r="BL23" i="21" a="1"/>
  <c r="BL23" i="21" s="1"/>
  <c r="BK23" i="21" a="1"/>
  <c r="BK23" i="21" s="1"/>
  <c r="BJ23" i="21" a="1"/>
  <c r="BJ23" i="21" s="1"/>
  <c r="BI23" i="21" a="1"/>
  <c r="BI23" i="21" s="1"/>
  <c r="BH23" i="21" a="1"/>
  <c r="BH23" i="21" s="1"/>
  <c r="BG23" i="21" a="1"/>
  <c r="BG23" i="21" s="1"/>
  <c r="BF23" i="21" a="1"/>
  <c r="BF23" i="21" s="1"/>
  <c r="BE23" i="21" a="1"/>
  <c r="BE23" i="21" s="1"/>
  <c r="BD23" i="21" a="1"/>
  <c r="BD23" i="21" s="1"/>
  <c r="BC23" i="21" a="1"/>
  <c r="BC23" i="21" s="1"/>
  <c r="BB23" i="21" a="1"/>
  <c r="BB23" i="21" s="1"/>
  <c r="BA23" i="21" a="1"/>
  <c r="BA23" i="21" s="1"/>
  <c r="AZ23" i="21" a="1"/>
  <c r="AZ23" i="21" s="1"/>
  <c r="AY23" i="21" a="1"/>
  <c r="AY23" i="21" s="1"/>
  <c r="AX23" i="21" a="1"/>
  <c r="AX23" i="21" s="1"/>
  <c r="AW23" i="21" a="1"/>
  <c r="AW23" i="21" s="1"/>
  <c r="AV23" i="21" a="1"/>
  <c r="AV23" i="21" s="1"/>
  <c r="AU23" i="21" a="1"/>
  <c r="AU23" i="21" s="1"/>
  <c r="CK22" i="21" a="1"/>
  <c r="CK22" i="21" s="1"/>
  <c r="CJ22" i="21" a="1"/>
  <c r="CJ22" i="21" s="1"/>
  <c r="CI22" i="21" a="1"/>
  <c r="CI22" i="21" s="1"/>
  <c r="CH22" i="21" a="1"/>
  <c r="CH22" i="21" s="1"/>
  <c r="CG22" i="21" a="1"/>
  <c r="CG22" i="21" s="1"/>
  <c r="CF22" i="21" a="1"/>
  <c r="CF22" i="21" s="1"/>
  <c r="CE22" i="21" a="1"/>
  <c r="CE22" i="21" s="1"/>
  <c r="CD22" i="21" a="1"/>
  <c r="CD22" i="21" s="1"/>
  <c r="CC22" i="21" a="1"/>
  <c r="CC22" i="21" s="1"/>
  <c r="CB22" i="21" a="1"/>
  <c r="CB22" i="21" s="1"/>
  <c r="CA22" i="21" a="1"/>
  <c r="CA22" i="21" s="1"/>
  <c r="BZ22" i="21" a="1"/>
  <c r="BZ22" i="21" s="1"/>
  <c r="BY22" i="21" a="1"/>
  <c r="BY22" i="21" s="1"/>
  <c r="BX22" i="21" a="1"/>
  <c r="BX22" i="21" s="1"/>
  <c r="BW22" i="21" a="1"/>
  <c r="BW22" i="21" s="1"/>
  <c r="BV22" i="21" a="1"/>
  <c r="BV22" i="21" s="1"/>
  <c r="BU22" i="21" a="1"/>
  <c r="BU22" i="21" s="1"/>
  <c r="BT22" i="21" a="1"/>
  <c r="BT22" i="21" s="1"/>
  <c r="BS22" i="21" a="1"/>
  <c r="BS22" i="21" s="1"/>
  <c r="BR22" i="21" a="1"/>
  <c r="BR22" i="21" s="1"/>
  <c r="BQ22" i="21" a="1"/>
  <c r="BQ22" i="21" s="1"/>
  <c r="BP22" i="21" a="1"/>
  <c r="BP22" i="21" s="1"/>
  <c r="BO22" i="21" a="1"/>
  <c r="BO22" i="21" s="1"/>
  <c r="BN22" i="21" a="1"/>
  <c r="BN22" i="21" s="1"/>
  <c r="BM22" i="21" a="1"/>
  <c r="BM22" i="21" s="1"/>
  <c r="BL22" i="21" a="1"/>
  <c r="BL22" i="21" s="1"/>
  <c r="BK22" i="21" a="1"/>
  <c r="BK22" i="21" s="1"/>
  <c r="BJ22" i="21" a="1"/>
  <c r="BJ22" i="21" s="1"/>
  <c r="BI22" i="21" a="1"/>
  <c r="BI22" i="21" s="1"/>
  <c r="BH22" i="21" a="1"/>
  <c r="BH22" i="21" s="1"/>
  <c r="BG22" i="21" a="1"/>
  <c r="BG22" i="21" s="1"/>
  <c r="BF22" i="21" a="1"/>
  <c r="BF22" i="21" s="1"/>
  <c r="BE22" i="21" a="1"/>
  <c r="BE22" i="21" s="1"/>
  <c r="BD22" i="21" a="1"/>
  <c r="BD22" i="21" s="1"/>
  <c r="BC22" i="21" a="1"/>
  <c r="BC22" i="21" s="1"/>
  <c r="BB22" i="21" a="1"/>
  <c r="BB22" i="21" s="1"/>
  <c r="BA22" i="21" a="1"/>
  <c r="BA22" i="21" s="1"/>
  <c r="AZ22" i="21" a="1"/>
  <c r="AZ22" i="21" s="1"/>
  <c r="AY22" i="21" a="1"/>
  <c r="AY22" i="21" s="1"/>
  <c r="AX22" i="21" a="1"/>
  <c r="AX22" i="21" s="1"/>
  <c r="AW22" i="21" a="1"/>
  <c r="AW22" i="21" s="1"/>
  <c r="AV22" i="21" a="1"/>
  <c r="AV22" i="21" s="1"/>
  <c r="AU22" i="21" a="1"/>
  <c r="AU22" i="21" s="1"/>
  <c r="CK21" i="21" a="1"/>
  <c r="CK21" i="21" s="1"/>
  <c r="CJ21" i="21" a="1"/>
  <c r="CJ21" i="21" s="1"/>
  <c r="CI21" i="21" a="1"/>
  <c r="CI21" i="21" s="1"/>
  <c r="CH21" i="21" a="1"/>
  <c r="CH21" i="21" s="1"/>
  <c r="CG21" i="21" a="1"/>
  <c r="CG21" i="21" s="1"/>
  <c r="CF21" i="21" a="1"/>
  <c r="CF21" i="21" s="1"/>
  <c r="CE21" i="21" a="1"/>
  <c r="CE21" i="21" s="1"/>
  <c r="CD21" i="21" a="1"/>
  <c r="CD21" i="21" s="1"/>
  <c r="CC21" i="21" a="1"/>
  <c r="CC21" i="21" s="1"/>
  <c r="CB21" i="21" a="1"/>
  <c r="CB21" i="21" s="1"/>
  <c r="CA21" i="21" a="1"/>
  <c r="CA21" i="21" s="1"/>
  <c r="BZ21" i="21" a="1"/>
  <c r="BZ21" i="21" s="1"/>
  <c r="BY21" i="21" a="1"/>
  <c r="BY21" i="21" s="1"/>
  <c r="BX21" i="21" a="1"/>
  <c r="BX21" i="21" s="1"/>
  <c r="BW21" i="21" a="1"/>
  <c r="BW21" i="21" s="1"/>
  <c r="BV21" i="21" a="1"/>
  <c r="BV21" i="21" s="1"/>
  <c r="BU21" i="21" a="1"/>
  <c r="BU21" i="21" s="1"/>
  <c r="BT21" i="21" a="1"/>
  <c r="BT21" i="21" s="1"/>
  <c r="BS21" i="21" a="1"/>
  <c r="BS21" i="21" s="1"/>
  <c r="BR21" i="21" a="1"/>
  <c r="BR21" i="21" s="1"/>
  <c r="BQ21" i="21" a="1"/>
  <c r="BQ21" i="21" s="1"/>
  <c r="BP21" i="21" a="1"/>
  <c r="BP21" i="21" s="1"/>
  <c r="BO21" i="21" a="1"/>
  <c r="BO21" i="21" s="1"/>
  <c r="BN21" i="21" a="1"/>
  <c r="BN21" i="21" s="1"/>
  <c r="BM21" i="21" a="1"/>
  <c r="BM21" i="21" s="1"/>
  <c r="BL21" i="21" a="1"/>
  <c r="BL21" i="21" s="1"/>
  <c r="BK21" i="21" a="1"/>
  <c r="BK21" i="21" s="1"/>
  <c r="BJ21" i="21" a="1"/>
  <c r="BJ21" i="21" s="1"/>
  <c r="BI21" i="21" a="1"/>
  <c r="BI21" i="21" s="1"/>
  <c r="BH21" i="21" a="1"/>
  <c r="BH21" i="21" s="1"/>
  <c r="BG21" i="21" a="1"/>
  <c r="BG21" i="21" s="1"/>
  <c r="BF21" i="21" a="1"/>
  <c r="BF21" i="21" s="1"/>
  <c r="BE21" i="21" a="1"/>
  <c r="BE21" i="21" s="1"/>
  <c r="BD21" i="21" a="1"/>
  <c r="BD21" i="21" s="1"/>
  <c r="BC21" i="21" a="1"/>
  <c r="BC21" i="21" s="1"/>
  <c r="BB21" i="21" a="1"/>
  <c r="BB21" i="21" s="1"/>
  <c r="BA21" i="21" a="1"/>
  <c r="BA21" i="21" s="1"/>
  <c r="AZ21" i="21" a="1"/>
  <c r="AZ21" i="21" s="1"/>
  <c r="AY21" i="21" a="1"/>
  <c r="AY21" i="21" s="1"/>
  <c r="AX21" i="21" a="1"/>
  <c r="AX21" i="21" s="1"/>
  <c r="AW21" i="21" a="1"/>
  <c r="AW21" i="21" s="1"/>
  <c r="AV21" i="21" a="1"/>
  <c r="AV21" i="21" s="1"/>
  <c r="AU21" i="21" a="1"/>
  <c r="AU21" i="21" s="1"/>
  <c r="CK20" i="21" a="1"/>
  <c r="CK20" i="21" s="1"/>
  <c r="CJ20" i="21" a="1"/>
  <c r="CJ20" i="21" s="1"/>
  <c r="CI20" i="21" a="1"/>
  <c r="CI20" i="21" s="1"/>
  <c r="CH20" i="21" a="1"/>
  <c r="CH20" i="21" s="1"/>
  <c r="CG20" i="21" a="1"/>
  <c r="CG20" i="21" s="1"/>
  <c r="CF20" i="21" a="1"/>
  <c r="CF20" i="21" s="1"/>
  <c r="CE20" i="21" a="1"/>
  <c r="CE20" i="21" s="1"/>
  <c r="CD20" i="21" a="1"/>
  <c r="CD20" i="21" s="1"/>
  <c r="CC20" i="21" a="1"/>
  <c r="CC20" i="21" s="1"/>
  <c r="CB20" i="21" a="1"/>
  <c r="CB20" i="21" s="1"/>
  <c r="CA20" i="21" a="1"/>
  <c r="CA20" i="21" s="1"/>
  <c r="BZ20" i="21" a="1"/>
  <c r="BZ20" i="21" s="1"/>
  <c r="BY20" i="21" a="1"/>
  <c r="BY20" i="21" s="1"/>
  <c r="BX20" i="21" a="1"/>
  <c r="BX20" i="21" s="1"/>
  <c r="BW20" i="21" a="1"/>
  <c r="BW20" i="21" s="1"/>
  <c r="BV20" i="21" a="1"/>
  <c r="BV20" i="21" s="1"/>
  <c r="BU20" i="21" a="1"/>
  <c r="BU20" i="21" s="1"/>
  <c r="BT20" i="21" a="1"/>
  <c r="BT20" i="21" s="1"/>
  <c r="BS20" i="21" a="1"/>
  <c r="BS20" i="21" s="1"/>
  <c r="BR20" i="21" a="1"/>
  <c r="BR20" i="21" s="1"/>
  <c r="BQ20" i="21" a="1"/>
  <c r="BQ20" i="21" s="1"/>
  <c r="BP20" i="21" a="1"/>
  <c r="BP20" i="21" s="1"/>
  <c r="BO20" i="21" a="1"/>
  <c r="BO20" i="21" s="1"/>
  <c r="BN20" i="21" a="1"/>
  <c r="BN20" i="21" s="1"/>
  <c r="BM20" i="21" a="1"/>
  <c r="BM20" i="21" s="1"/>
  <c r="BL20" i="21" a="1"/>
  <c r="BL20" i="21" s="1"/>
  <c r="BK20" i="21" a="1"/>
  <c r="BK20" i="21" s="1"/>
  <c r="BJ20" i="21" a="1"/>
  <c r="BJ20" i="21" s="1"/>
  <c r="BI20" i="21" a="1"/>
  <c r="BI20" i="21" s="1"/>
  <c r="BH20" i="21" a="1"/>
  <c r="BH20" i="21" s="1"/>
  <c r="BG20" i="21" a="1"/>
  <c r="BG20" i="21" s="1"/>
  <c r="BF20" i="21" a="1"/>
  <c r="BF20" i="21" s="1"/>
  <c r="BE20" i="21" a="1"/>
  <c r="BE20" i="21" s="1"/>
  <c r="BD20" i="21" a="1"/>
  <c r="BD20" i="21" s="1"/>
  <c r="BC20" i="21" a="1"/>
  <c r="BC20" i="21" s="1"/>
  <c r="BB20" i="21" a="1"/>
  <c r="BB20" i="21" s="1"/>
  <c r="BA20" i="21" a="1"/>
  <c r="BA20" i="21" s="1"/>
  <c r="AZ20" i="21" a="1"/>
  <c r="AZ20" i="21" s="1"/>
  <c r="AY20" i="21" a="1"/>
  <c r="AY20" i="21" s="1"/>
  <c r="AX20" i="21" a="1"/>
  <c r="AX20" i="21" s="1"/>
  <c r="AW20" i="21" a="1"/>
  <c r="AW20" i="21" s="1"/>
  <c r="AV20" i="21" a="1"/>
  <c r="AV20" i="21" s="1"/>
  <c r="AU20" i="21" a="1"/>
  <c r="AU20" i="21" s="1"/>
  <c r="CK19" i="21" a="1"/>
  <c r="CK19" i="21" s="1"/>
  <c r="CJ19" i="21" a="1"/>
  <c r="CJ19" i="21" s="1"/>
  <c r="CI19" i="21" a="1"/>
  <c r="CI19" i="21" s="1"/>
  <c r="CH19" i="21" a="1"/>
  <c r="CH19" i="21" s="1"/>
  <c r="CG19" i="21" a="1"/>
  <c r="CG19" i="21" s="1"/>
  <c r="CF19" i="21" a="1"/>
  <c r="CF19" i="21" s="1"/>
  <c r="CE19" i="21" a="1"/>
  <c r="CE19" i="21" s="1"/>
  <c r="CD19" i="21" a="1"/>
  <c r="CD19" i="21" s="1"/>
  <c r="CC19" i="21" a="1"/>
  <c r="CC19" i="21" s="1"/>
  <c r="CB19" i="21" a="1"/>
  <c r="CB19" i="21" s="1"/>
  <c r="CA19" i="21" a="1"/>
  <c r="CA19" i="21" s="1"/>
  <c r="BZ19" i="21" a="1"/>
  <c r="BZ19" i="21" s="1"/>
  <c r="BY19" i="21" a="1"/>
  <c r="BY19" i="21" s="1"/>
  <c r="BX19" i="21" a="1"/>
  <c r="BX19" i="21" s="1"/>
  <c r="BW19" i="21" a="1"/>
  <c r="BW19" i="21" s="1"/>
  <c r="BV19" i="21" a="1"/>
  <c r="BV19" i="21" s="1"/>
  <c r="BU19" i="21" a="1"/>
  <c r="BU19" i="21" s="1"/>
  <c r="BT19" i="21" a="1"/>
  <c r="BT19" i="21" s="1"/>
  <c r="BS19" i="21" a="1"/>
  <c r="BS19" i="21" s="1"/>
  <c r="BR19" i="21" a="1"/>
  <c r="BR19" i="21" s="1"/>
  <c r="BQ19" i="21" a="1"/>
  <c r="BQ19" i="21" s="1"/>
  <c r="BP19" i="21" a="1"/>
  <c r="BP19" i="21" s="1"/>
  <c r="BO19" i="21" a="1"/>
  <c r="BO19" i="21" s="1"/>
  <c r="BN19" i="21" a="1"/>
  <c r="BN19" i="21" s="1"/>
  <c r="BM19" i="21" a="1"/>
  <c r="BM19" i="21" s="1"/>
  <c r="BL19" i="21" a="1"/>
  <c r="BL19" i="21" s="1"/>
  <c r="BK19" i="21" a="1"/>
  <c r="BK19" i="21" s="1"/>
  <c r="BJ19" i="21" a="1"/>
  <c r="BJ19" i="21" s="1"/>
  <c r="BI19" i="21" a="1"/>
  <c r="BI19" i="21" s="1"/>
  <c r="BH19" i="21" a="1"/>
  <c r="BH19" i="21" s="1"/>
  <c r="BG19" i="21" a="1"/>
  <c r="BG19" i="21" s="1"/>
  <c r="BF19" i="21" a="1"/>
  <c r="BF19" i="21" s="1"/>
  <c r="BE19" i="21" a="1"/>
  <c r="BE19" i="21" s="1"/>
  <c r="BD19" i="21" a="1"/>
  <c r="BD19" i="21" s="1"/>
  <c r="BC19" i="21" a="1"/>
  <c r="BC19" i="21" s="1"/>
  <c r="BB19" i="21" a="1"/>
  <c r="BB19" i="21" s="1"/>
  <c r="BA19" i="21" a="1"/>
  <c r="BA19" i="21" s="1"/>
  <c r="AZ19" i="21" a="1"/>
  <c r="AZ19" i="21" s="1"/>
  <c r="AY19" i="21" a="1"/>
  <c r="AY19" i="21" s="1"/>
  <c r="AX19" i="21" a="1"/>
  <c r="AX19" i="21" s="1"/>
  <c r="AW19" i="21" a="1"/>
  <c r="AW19" i="21" s="1"/>
  <c r="AV19" i="21" a="1"/>
  <c r="AV19" i="21" s="1"/>
  <c r="AU19" i="21" a="1"/>
  <c r="AU19" i="21" s="1"/>
  <c r="CK18" i="21" a="1"/>
  <c r="CK18" i="21" s="1"/>
  <c r="CJ18" i="21" a="1"/>
  <c r="CJ18" i="21" s="1"/>
  <c r="CI18" i="21" a="1"/>
  <c r="CI18" i="21" s="1"/>
  <c r="CH18" i="21" a="1"/>
  <c r="CH18" i="21" s="1"/>
  <c r="CG18" i="21" a="1"/>
  <c r="CG18" i="21" s="1"/>
  <c r="CF18" i="21" a="1"/>
  <c r="CF18" i="21" s="1"/>
  <c r="CE18" i="21" a="1"/>
  <c r="CE18" i="21" s="1"/>
  <c r="CD18" i="21" a="1"/>
  <c r="CD18" i="21" s="1"/>
  <c r="CC18" i="21" a="1"/>
  <c r="CC18" i="21" s="1"/>
  <c r="CB18" i="21" a="1"/>
  <c r="CB18" i="21" s="1"/>
  <c r="CA18" i="21" a="1"/>
  <c r="CA18" i="21" s="1"/>
  <c r="BZ18" i="21" a="1"/>
  <c r="BZ18" i="21" s="1"/>
  <c r="BY18" i="21" a="1"/>
  <c r="BY18" i="21" s="1"/>
  <c r="BX18" i="21" a="1"/>
  <c r="BX18" i="21" s="1"/>
  <c r="BW18" i="21" a="1"/>
  <c r="BW18" i="21" s="1"/>
  <c r="BV18" i="21" a="1"/>
  <c r="BV18" i="21" s="1"/>
  <c r="BU18" i="21" a="1"/>
  <c r="BU18" i="21" s="1"/>
  <c r="BT18" i="21" a="1"/>
  <c r="BT18" i="21" s="1"/>
  <c r="BS18" i="21" a="1"/>
  <c r="BS18" i="21" s="1"/>
  <c r="BR18" i="21" a="1"/>
  <c r="BR18" i="21" s="1"/>
  <c r="BQ18" i="21" a="1"/>
  <c r="BQ18" i="21" s="1"/>
  <c r="BP18" i="21" a="1"/>
  <c r="BP18" i="21" s="1"/>
  <c r="BO18" i="21" a="1"/>
  <c r="BO18" i="21" s="1"/>
  <c r="BN18" i="21" a="1"/>
  <c r="BN18" i="21" s="1"/>
  <c r="BM18" i="21" a="1"/>
  <c r="BM18" i="21" s="1"/>
  <c r="BL18" i="21" a="1"/>
  <c r="BL18" i="21" s="1"/>
  <c r="BK18" i="21" a="1"/>
  <c r="BK18" i="21" s="1"/>
  <c r="BJ18" i="21" a="1"/>
  <c r="BJ18" i="21" s="1"/>
  <c r="BI18" i="21" a="1"/>
  <c r="BI18" i="21" s="1"/>
  <c r="BH18" i="21" a="1"/>
  <c r="BH18" i="21" s="1"/>
  <c r="BG18" i="21" a="1"/>
  <c r="BG18" i="21" s="1"/>
  <c r="BF18" i="21" a="1"/>
  <c r="BF18" i="21" s="1"/>
  <c r="BE18" i="21" a="1"/>
  <c r="BE18" i="21" s="1"/>
  <c r="BD18" i="21" a="1"/>
  <c r="BD18" i="21" s="1"/>
  <c r="BC18" i="21" a="1"/>
  <c r="BC18" i="21" s="1"/>
  <c r="BB18" i="21" a="1"/>
  <c r="BB18" i="21" s="1"/>
  <c r="BA18" i="21" a="1"/>
  <c r="BA18" i="21" s="1"/>
  <c r="AZ18" i="21" a="1"/>
  <c r="AZ18" i="21" s="1"/>
  <c r="AY18" i="21" a="1"/>
  <c r="AY18" i="21" s="1"/>
  <c r="AX18" i="21" a="1"/>
  <c r="AX18" i="21" s="1"/>
  <c r="AW18" i="21" a="1"/>
  <c r="AW18" i="21" s="1"/>
  <c r="AV18" i="21" a="1"/>
  <c r="AV18" i="21" s="1"/>
  <c r="AU18" i="21" a="1"/>
  <c r="AU18" i="21" s="1"/>
  <c r="CK17" i="21" a="1"/>
  <c r="CK17" i="21" s="1"/>
  <c r="CJ17" i="21" a="1"/>
  <c r="CJ17" i="21" s="1"/>
  <c r="CI17" i="21" a="1"/>
  <c r="CI17" i="21" s="1"/>
  <c r="CH17" i="21" a="1"/>
  <c r="CH17" i="21" s="1"/>
  <c r="CG17" i="21" a="1"/>
  <c r="CG17" i="21" s="1"/>
  <c r="CF17" i="21" a="1"/>
  <c r="CF17" i="21" s="1"/>
  <c r="CE17" i="21" a="1"/>
  <c r="CE17" i="21" s="1"/>
  <c r="CD17" i="21" a="1"/>
  <c r="CD17" i="21" s="1"/>
  <c r="CC17" i="21" a="1"/>
  <c r="CC17" i="21" s="1"/>
  <c r="CB17" i="21" a="1"/>
  <c r="CB17" i="21" s="1"/>
  <c r="CA17" i="21" a="1"/>
  <c r="CA17" i="21" s="1"/>
  <c r="BZ17" i="21" a="1"/>
  <c r="BZ17" i="21" s="1"/>
  <c r="BY17" i="21" a="1"/>
  <c r="BY17" i="21" s="1"/>
  <c r="BX17" i="21" a="1"/>
  <c r="BX17" i="21" s="1"/>
  <c r="BW17" i="21" a="1"/>
  <c r="BW17" i="21" s="1"/>
  <c r="BV17" i="21" a="1"/>
  <c r="BV17" i="21" s="1"/>
  <c r="BU17" i="21" a="1"/>
  <c r="BU17" i="21" s="1"/>
  <c r="BT17" i="21" a="1"/>
  <c r="BT17" i="21" s="1"/>
  <c r="BS17" i="21" a="1"/>
  <c r="BS17" i="21" s="1"/>
  <c r="BR17" i="21" a="1"/>
  <c r="BR17" i="21" s="1"/>
  <c r="BQ17" i="21" a="1"/>
  <c r="BQ17" i="21" s="1"/>
  <c r="BP17" i="21" a="1"/>
  <c r="BP17" i="21" s="1"/>
  <c r="BO17" i="21" a="1"/>
  <c r="BO17" i="21" s="1"/>
  <c r="BN17" i="21" a="1"/>
  <c r="BN17" i="21" s="1"/>
  <c r="BM17" i="21" a="1"/>
  <c r="BM17" i="21" s="1"/>
  <c r="BL17" i="21" a="1"/>
  <c r="BL17" i="21" s="1"/>
  <c r="BK17" i="21" a="1"/>
  <c r="BK17" i="21" s="1"/>
  <c r="BJ17" i="21" a="1"/>
  <c r="BJ17" i="21" s="1"/>
  <c r="BI17" i="21" a="1"/>
  <c r="BI17" i="21" s="1"/>
  <c r="BH17" i="21" a="1"/>
  <c r="BH17" i="21" s="1"/>
  <c r="BG17" i="21" a="1"/>
  <c r="BG17" i="21" s="1"/>
  <c r="BF17" i="21" a="1"/>
  <c r="BF17" i="21" s="1"/>
  <c r="BE17" i="21" a="1"/>
  <c r="BE17" i="21" s="1"/>
  <c r="BD17" i="21" a="1"/>
  <c r="BD17" i="21" s="1"/>
  <c r="BC17" i="21" a="1"/>
  <c r="BC17" i="21" s="1"/>
  <c r="BB17" i="21" a="1"/>
  <c r="BB17" i="21" s="1"/>
  <c r="BA17" i="21" a="1"/>
  <c r="BA17" i="21" s="1"/>
  <c r="AZ17" i="21" a="1"/>
  <c r="AZ17" i="21" s="1"/>
  <c r="AY17" i="21" a="1"/>
  <c r="AY17" i="21" s="1"/>
  <c r="AX17" i="21" a="1"/>
  <c r="AX17" i="21" s="1"/>
  <c r="AW17" i="21" a="1"/>
  <c r="AW17" i="21" s="1"/>
  <c r="AV17" i="21" a="1"/>
  <c r="AV17" i="21" s="1"/>
  <c r="AU17" i="21" a="1"/>
  <c r="AU17" i="21" s="1"/>
  <c r="CK16" i="21" a="1"/>
  <c r="CK16" i="21" s="1"/>
  <c r="CJ16" i="21" a="1"/>
  <c r="CJ16" i="21" s="1"/>
  <c r="CI16" i="21" a="1"/>
  <c r="CI16" i="21" s="1"/>
  <c r="CH16" i="21" a="1"/>
  <c r="CH16" i="21" s="1"/>
  <c r="CG16" i="21" a="1"/>
  <c r="CG16" i="21" s="1"/>
  <c r="CF16" i="21" a="1"/>
  <c r="CF16" i="21" s="1"/>
  <c r="CE16" i="21" a="1"/>
  <c r="CE16" i="21" s="1"/>
  <c r="CD16" i="21" a="1"/>
  <c r="CD16" i="21" s="1"/>
  <c r="CC16" i="21" a="1"/>
  <c r="CC16" i="21" s="1"/>
  <c r="CB16" i="21" a="1"/>
  <c r="CB16" i="21" s="1"/>
  <c r="CA16" i="21" a="1"/>
  <c r="CA16" i="21" s="1"/>
  <c r="BZ16" i="21" a="1"/>
  <c r="BZ16" i="21" s="1"/>
  <c r="BY16" i="21" a="1"/>
  <c r="BY16" i="21" s="1"/>
  <c r="BX16" i="21" a="1"/>
  <c r="BX16" i="21" s="1"/>
  <c r="BW16" i="21" a="1"/>
  <c r="BW16" i="21" s="1"/>
  <c r="BV16" i="21" a="1"/>
  <c r="BV16" i="21" s="1"/>
  <c r="BU16" i="21" a="1"/>
  <c r="BU16" i="21" s="1"/>
  <c r="BT16" i="21" a="1"/>
  <c r="BT16" i="21" s="1"/>
  <c r="BS16" i="21" a="1"/>
  <c r="BS16" i="21" s="1"/>
  <c r="BR16" i="21" a="1"/>
  <c r="BR16" i="21" s="1"/>
  <c r="BQ16" i="21" a="1"/>
  <c r="BQ16" i="21" s="1"/>
  <c r="BP16" i="21" a="1"/>
  <c r="BP16" i="21" s="1"/>
  <c r="BO16" i="21" a="1"/>
  <c r="BO16" i="21" s="1"/>
  <c r="BN16" i="21" a="1"/>
  <c r="BN16" i="21" s="1"/>
  <c r="BM16" i="21" a="1"/>
  <c r="BM16" i="21" s="1"/>
  <c r="BL16" i="21" a="1"/>
  <c r="BL16" i="21" s="1"/>
  <c r="BK16" i="21" a="1"/>
  <c r="BK16" i="21" s="1"/>
  <c r="BJ16" i="21" a="1"/>
  <c r="BJ16" i="21" s="1"/>
  <c r="BI16" i="21" a="1"/>
  <c r="BI16" i="21" s="1"/>
  <c r="BH16" i="21" a="1"/>
  <c r="BH16" i="21" s="1"/>
  <c r="BG16" i="21" a="1"/>
  <c r="BG16" i="21" s="1"/>
  <c r="BF16" i="21" a="1"/>
  <c r="BF16" i="21" s="1"/>
  <c r="BE16" i="21" a="1"/>
  <c r="BE16" i="21" s="1"/>
  <c r="BD16" i="21" a="1"/>
  <c r="BD16" i="21" s="1"/>
  <c r="BC16" i="21" a="1"/>
  <c r="BC16" i="21" s="1"/>
  <c r="BB16" i="21" a="1"/>
  <c r="BB16" i="21" s="1"/>
  <c r="BA16" i="21" a="1"/>
  <c r="BA16" i="21" s="1"/>
  <c r="AZ16" i="21" a="1"/>
  <c r="AZ16" i="21" s="1"/>
  <c r="AY16" i="21" a="1"/>
  <c r="AY16" i="21" s="1"/>
  <c r="AX16" i="21" a="1"/>
  <c r="AX16" i="21" s="1"/>
  <c r="AW16" i="21" a="1"/>
  <c r="AW16" i="21" s="1"/>
  <c r="AV16" i="21" a="1"/>
  <c r="AV16" i="21" s="1"/>
  <c r="AU16" i="21" a="1"/>
  <c r="AU16" i="21" s="1"/>
  <c r="CK15" i="21" a="1"/>
  <c r="CK15" i="21" s="1"/>
  <c r="CJ15" i="21" a="1"/>
  <c r="CJ15" i="21" s="1"/>
  <c r="CI15" i="21" a="1"/>
  <c r="CI15" i="21" s="1"/>
  <c r="CH15" i="21" a="1"/>
  <c r="CH15" i="21" s="1"/>
  <c r="CG15" i="21" a="1"/>
  <c r="CG15" i="21" s="1"/>
  <c r="CF15" i="21" a="1"/>
  <c r="CF15" i="21" s="1"/>
  <c r="CE15" i="21" a="1"/>
  <c r="CE15" i="21" s="1"/>
  <c r="CD15" i="21" a="1"/>
  <c r="CD15" i="21" s="1"/>
  <c r="CC15" i="21" a="1"/>
  <c r="CC15" i="21" s="1"/>
  <c r="CB15" i="21" a="1"/>
  <c r="CB15" i="21" s="1"/>
  <c r="CA15" i="21" a="1"/>
  <c r="CA15" i="21" s="1"/>
  <c r="BZ15" i="21" a="1"/>
  <c r="BZ15" i="21" s="1"/>
  <c r="BY15" i="21" a="1"/>
  <c r="BY15" i="21" s="1"/>
  <c r="BX15" i="21" a="1"/>
  <c r="BX15" i="21" s="1"/>
  <c r="BW15" i="21" a="1"/>
  <c r="BW15" i="21" s="1"/>
  <c r="BV15" i="21" a="1"/>
  <c r="BV15" i="21" s="1"/>
  <c r="BU15" i="21" a="1"/>
  <c r="BU15" i="21" s="1"/>
  <c r="BT15" i="21" a="1"/>
  <c r="BT15" i="21" s="1"/>
  <c r="BS15" i="21" a="1"/>
  <c r="BS15" i="21" s="1"/>
  <c r="BR15" i="21" a="1"/>
  <c r="BR15" i="21" s="1"/>
  <c r="BQ15" i="21" a="1"/>
  <c r="BQ15" i="21" s="1"/>
  <c r="BP15" i="21" a="1"/>
  <c r="BP15" i="21" s="1"/>
  <c r="BO15" i="21" a="1"/>
  <c r="BO15" i="21" s="1"/>
  <c r="BN15" i="21" a="1"/>
  <c r="BN15" i="21" s="1"/>
  <c r="BM15" i="21" a="1"/>
  <c r="BM15" i="21" s="1"/>
  <c r="BL15" i="21" a="1"/>
  <c r="BL15" i="21" s="1"/>
  <c r="BK15" i="21" a="1"/>
  <c r="BK15" i="21" s="1"/>
  <c r="BJ15" i="21" a="1"/>
  <c r="BJ15" i="21" s="1"/>
  <c r="BI15" i="21" a="1"/>
  <c r="BI15" i="21" s="1"/>
  <c r="BH15" i="21" a="1"/>
  <c r="BH15" i="21" s="1"/>
  <c r="BG15" i="21" a="1"/>
  <c r="BG15" i="21" s="1"/>
  <c r="BF15" i="21" a="1"/>
  <c r="BF15" i="21" s="1"/>
  <c r="BE15" i="21" a="1"/>
  <c r="BE15" i="21" s="1"/>
  <c r="BD15" i="21" a="1"/>
  <c r="BD15" i="21" s="1"/>
  <c r="BC15" i="21" a="1"/>
  <c r="BC15" i="21" s="1"/>
  <c r="BB15" i="21" a="1"/>
  <c r="BB15" i="21" s="1"/>
  <c r="BA15" i="21" a="1"/>
  <c r="BA15" i="21" s="1"/>
  <c r="AZ15" i="21" a="1"/>
  <c r="AZ15" i="21" s="1"/>
  <c r="AY15" i="21" a="1"/>
  <c r="AY15" i="21" s="1"/>
  <c r="AX15" i="21" a="1"/>
  <c r="AX15" i="21" s="1"/>
  <c r="AW15" i="21" a="1"/>
  <c r="AW15" i="21" s="1"/>
  <c r="AV15" i="21" a="1"/>
  <c r="AV15" i="21" s="1"/>
  <c r="AU15" i="21" a="1"/>
  <c r="AU15" i="21" s="1"/>
  <c r="CK14" i="21" a="1"/>
  <c r="CK14" i="21" s="1"/>
  <c r="CJ14" i="21" a="1"/>
  <c r="CJ14" i="21" s="1"/>
  <c r="CI14" i="21" a="1"/>
  <c r="CI14" i="21" s="1"/>
  <c r="CH14" i="21" a="1"/>
  <c r="CH14" i="21" s="1"/>
  <c r="CG14" i="21" a="1"/>
  <c r="CG14" i="21" s="1"/>
  <c r="CF14" i="21" a="1"/>
  <c r="CF14" i="21" s="1"/>
  <c r="CE14" i="21" a="1"/>
  <c r="CE14" i="21" s="1"/>
  <c r="CD14" i="21" a="1"/>
  <c r="CD14" i="21" s="1"/>
  <c r="CC14" i="21" a="1"/>
  <c r="CC14" i="21" s="1"/>
  <c r="CB14" i="21" a="1"/>
  <c r="CB14" i="21" s="1"/>
  <c r="CA14" i="21" a="1"/>
  <c r="CA14" i="21" s="1"/>
  <c r="BZ14" i="21" a="1"/>
  <c r="BZ14" i="21" s="1"/>
  <c r="BY14" i="21" a="1"/>
  <c r="BY14" i="21" s="1"/>
  <c r="BX14" i="21" a="1"/>
  <c r="BX14" i="21" s="1"/>
  <c r="BW14" i="21" a="1"/>
  <c r="BW14" i="21" s="1"/>
  <c r="BV14" i="21" a="1"/>
  <c r="BV14" i="21" s="1"/>
  <c r="BU14" i="21" a="1"/>
  <c r="BU14" i="21" s="1"/>
  <c r="BT14" i="21" a="1"/>
  <c r="BT14" i="21" s="1"/>
  <c r="BS14" i="21" a="1"/>
  <c r="BS14" i="21" s="1"/>
  <c r="BR14" i="21" a="1"/>
  <c r="BR14" i="21" s="1"/>
  <c r="BQ14" i="21" a="1"/>
  <c r="BQ14" i="21" s="1"/>
  <c r="BP14" i="21" a="1"/>
  <c r="BP14" i="21" s="1"/>
  <c r="BO14" i="21" a="1"/>
  <c r="BO14" i="21" s="1"/>
  <c r="BN14" i="21" a="1"/>
  <c r="BN14" i="21" s="1"/>
  <c r="BM14" i="21" a="1"/>
  <c r="BM14" i="21" s="1"/>
  <c r="BL14" i="21" a="1"/>
  <c r="BL14" i="21" s="1"/>
  <c r="BK14" i="21" a="1"/>
  <c r="BK14" i="21" s="1"/>
  <c r="BJ14" i="21" a="1"/>
  <c r="BJ14" i="21" s="1"/>
  <c r="BI14" i="21" a="1"/>
  <c r="BI14" i="21" s="1"/>
  <c r="BH14" i="21" a="1"/>
  <c r="BH14" i="21" s="1"/>
  <c r="BG14" i="21" a="1"/>
  <c r="BG14" i="21" s="1"/>
  <c r="BF14" i="21" a="1"/>
  <c r="BF14" i="21" s="1"/>
  <c r="BE14" i="21" a="1"/>
  <c r="BE14" i="21" s="1"/>
  <c r="BD14" i="21" a="1"/>
  <c r="BD14" i="21" s="1"/>
  <c r="BC14" i="21" a="1"/>
  <c r="BC14" i="21" s="1"/>
  <c r="BB14" i="21" a="1"/>
  <c r="BB14" i="21" s="1"/>
  <c r="BA14" i="21" a="1"/>
  <c r="BA14" i="21" s="1"/>
  <c r="AZ14" i="21" a="1"/>
  <c r="AZ14" i="21" s="1"/>
  <c r="AY14" i="21" a="1"/>
  <c r="AY14" i="21" s="1"/>
  <c r="AX14" i="21" a="1"/>
  <c r="AX14" i="21" s="1"/>
  <c r="AW14" i="21" a="1"/>
  <c r="AW14" i="21" s="1"/>
  <c r="AV14" i="21" a="1"/>
  <c r="AV14" i="21" s="1"/>
  <c r="AU14" i="21" a="1"/>
  <c r="AU14" i="21" s="1"/>
  <c r="CK13" i="21" a="1"/>
  <c r="CK13" i="21" s="1"/>
  <c r="CJ13" i="21" a="1"/>
  <c r="CJ13" i="21" s="1"/>
  <c r="CI13" i="21" a="1"/>
  <c r="CI13" i="21" s="1"/>
  <c r="CH13" i="21" a="1"/>
  <c r="CH13" i="21" s="1"/>
  <c r="CG13" i="21" a="1"/>
  <c r="CG13" i="21" s="1"/>
  <c r="CF13" i="21" a="1"/>
  <c r="CF13" i="21" s="1"/>
  <c r="CE13" i="21" a="1"/>
  <c r="CE13" i="21" s="1"/>
  <c r="CD13" i="21" a="1"/>
  <c r="CD13" i="21" s="1"/>
  <c r="CC13" i="21" a="1"/>
  <c r="CC13" i="21" s="1"/>
  <c r="CB13" i="21" a="1"/>
  <c r="CB13" i="21" s="1"/>
  <c r="CA13" i="21" a="1"/>
  <c r="CA13" i="21" s="1"/>
  <c r="BZ13" i="21" a="1"/>
  <c r="BZ13" i="21" s="1"/>
  <c r="BY13" i="21" a="1"/>
  <c r="BY13" i="21" s="1"/>
  <c r="BX13" i="21" a="1"/>
  <c r="BX13" i="21" s="1"/>
  <c r="BW13" i="21" a="1"/>
  <c r="BW13" i="21" s="1"/>
  <c r="BV13" i="21" a="1"/>
  <c r="BV13" i="21" s="1"/>
  <c r="BU13" i="21" a="1"/>
  <c r="BU13" i="21" s="1"/>
  <c r="BT13" i="21" a="1"/>
  <c r="BT13" i="21" s="1"/>
  <c r="BS13" i="21" a="1"/>
  <c r="BS13" i="21" s="1"/>
  <c r="BR13" i="21" a="1"/>
  <c r="BR13" i="21" s="1"/>
  <c r="BQ13" i="21" a="1"/>
  <c r="BQ13" i="21" s="1"/>
  <c r="BP13" i="21" a="1"/>
  <c r="BP13" i="21" s="1"/>
  <c r="BO13" i="21" a="1"/>
  <c r="BO13" i="21" s="1"/>
  <c r="BN13" i="21" a="1"/>
  <c r="BN13" i="21" s="1"/>
  <c r="BM13" i="21" a="1"/>
  <c r="BM13" i="21" s="1"/>
  <c r="BL13" i="21" a="1"/>
  <c r="BL13" i="21" s="1"/>
  <c r="BK13" i="21" a="1"/>
  <c r="BK13" i="21" s="1"/>
  <c r="BJ13" i="21" a="1"/>
  <c r="BJ13" i="21" s="1"/>
  <c r="BI13" i="21" a="1"/>
  <c r="BI13" i="21" s="1"/>
  <c r="BH13" i="21" a="1"/>
  <c r="BH13" i="21" s="1"/>
  <c r="BG13" i="21" a="1"/>
  <c r="BG13" i="21" s="1"/>
  <c r="BF13" i="21" a="1"/>
  <c r="BF13" i="21" s="1"/>
  <c r="BE13" i="21" a="1"/>
  <c r="BE13" i="21" s="1"/>
  <c r="BD13" i="21" a="1"/>
  <c r="BD13" i="21" s="1"/>
  <c r="BC13" i="21" a="1"/>
  <c r="BC13" i="21" s="1"/>
  <c r="BB13" i="21" a="1"/>
  <c r="BB13" i="21" s="1"/>
  <c r="BA13" i="21" a="1"/>
  <c r="BA13" i="21" s="1"/>
  <c r="AZ13" i="21" a="1"/>
  <c r="AZ13" i="21" s="1"/>
  <c r="AY13" i="21" a="1"/>
  <c r="AY13" i="21" s="1"/>
  <c r="AX13" i="21" a="1"/>
  <c r="AX13" i="21" s="1"/>
  <c r="AW13" i="21" a="1"/>
  <c r="AW13" i="21" s="1"/>
  <c r="AV13" i="21" a="1"/>
  <c r="AV13" i="21" s="1"/>
  <c r="AU13" i="21" a="1"/>
  <c r="AU13" i="21" s="1"/>
  <c r="CK12" i="21" a="1"/>
  <c r="CK12" i="21" s="1"/>
  <c r="CJ12" i="21" a="1"/>
  <c r="CJ12" i="21" s="1"/>
  <c r="CI12" i="21" a="1"/>
  <c r="CI12" i="21" s="1"/>
  <c r="CH12" i="21" a="1"/>
  <c r="CH12" i="21" s="1"/>
  <c r="CG12" i="21" a="1"/>
  <c r="CG12" i="21" s="1"/>
  <c r="CF12" i="21" a="1"/>
  <c r="CF12" i="21" s="1"/>
  <c r="CE12" i="21" a="1"/>
  <c r="CE12" i="21" s="1"/>
  <c r="CD12" i="21" a="1"/>
  <c r="CD12" i="21" s="1"/>
  <c r="CC12" i="21" a="1"/>
  <c r="CC12" i="21" s="1"/>
  <c r="CB12" i="21" a="1"/>
  <c r="CB12" i="21" s="1"/>
  <c r="CA12" i="21" a="1"/>
  <c r="CA12" i="21" s="1"/>
  <c r="BZ12" i="21" a="1"/>
  <c r="BZ12" i="21" s="1"/>
  <c r="BY12" i="21" a="1"/>
  <c r="BY12" i="21" s="1"/>
  <c r="BX12" i="21" a="1"/>
  <c r="BX12" i="21" s="1"/>
  <c r="BW12" i="21" a="1"/>
  <c r="BW12" i="21" s="1"/>
  <c r="BV12" i="21" a="1"/>
  <c r="BV12" i="21" s="1"/>
  <c r="BU12" i="21" a="1"/>
  <c r="BU12" i="21" s="1"/>
  <c r="BT12" i="21" a="1"/>
  <c r="BT12" i="21" s="1"/>
  <c r="BS12" i="21" a="1"/>
  <c r="BS12" i="21" s="1"/>
  <c r="BR12" i="21" a="1"/>
  <c r="BR12" i="21" s="1"/>
  <c r="BQ12" i="21" a="1"/>
  <c r="BQ12" i="21" s="1"/>
  <c r="BP12" i="21" a="1"/>
  <c r="BP12" i="21" s="1"/>
  <c r="BO12" i="21" a="1"/>
  <c r="BO12" i="21" s="1"/>
  <c r="BN12" i="21" a="1"/>
  <c r="BN12" i="21" s="1"/>
  <c r="BM12" i="21" a="1"/>
  <c r="BM12" i="21" s="1"/>
  <c r="BL12" i="21" a="1"/>
  <c r="BL12" i="21" s="1"/>
  <c r="BK12" i="21" a="1"/>
  <c r="BK12" i="21" s="1"/>
  <c r="BJ12" i="21" a="1"/>
  <c r="BJ12" i="21" s="1"/>
  <c r="BI12" i="21" a="1"/>
  <c r="BI12" i="21" s="1"/>
  <c r="BH12" i="21" a="1"/>
  <c r="BH12" i="21" s="1"/>
  <c r="BG12" i="21" a="1"/>
  <c r="BG12" i="21" s="1"/>
  <c r="BF12" i="21" a="1"/>
  <c r="BF12" i="21" s="1"/>
  <c r="BE12" i="21" a="1"/>
  <c r="BE12" i="21" s="1"/>
  <c r="BD12" i="21" a="1"/>
  <c r="BD12" i="21" s="1"/>
  <c r="BC12" i="21" a="1"/>
  <c r="BC12" i="21" s="1"/>
  <c r="BB12" i="21" a="1"/>
  <c r="BB12" i="21" s="1"/>
  <c r="BA12" i="21" a="1"/>
  <c r="BA12" i="21" s="1"/>
  <c r="AZ12" i="21" a="1"/>
  <c r="AZ12" i="21" s="1"/>
  <c r="AY12" i="21" a="1"/>
  <c r="AY12" i="21" s="1"/>
  <c r="AX12" i="21" a="1"/>
  <c r="AX12" i="21" s="1"/>
  <c r="AW12" i="21" a="1"/>
  <c r="AW12" i="21" s="1"/>
  <c r="AV12" i="21" a="1"/>
  <c r="AV12" i="21" s="1"/>
  <c r="AU12" i="21" a="1"/>
  <c r="AU12" i="21" s="1"/>
  <c r="CK11" i="21" a="1"/>
  <c r="CK11" i="21" s="1"/>
  <c r="CJ11" i="21" a="1"/>
  <c r="CJ11" i="21" s="1"/>
  <c r="CI11" i="21" a="1"/>
  <c r="CI11" i="21" s="1"/>
  <c r="CH11" i="21" a="1"/>
  <c r="CH11" i="21" s="1"/>
  <c r="CG11" i="21" a="1"/>
  <c r="CG11" i="21" s="1"/>
  <c r="CF11" i="21" a="1"/>
  <c r="CF11" i="21" s="1"/>
  <c r="CE11" i="21" a="1"/>
  <c r="CE11" i="21" s="1"/>
  <c r="CD11" i="21" a="1"/>
  <c r="CD11" i="21" s="1"/>
  <c r="CC11" i="21" a="1"/>
  <c r="CC11" i="21" s="1"/>
  <c r="CB11" i="21" a="1"/>
  <c r="CB11" i="21" s="1"/>
  <c r="CA11" i="21" a="1"/>
  <c r="CA11" i="21" s="1"/>
  <c r="BZ11" i="21" a="1"/>
  <c r="BZ11" i="21" s="1"/>
  <c r="BY11" i="21" a="1"/>
  <c r="BY11" i="21" s="1"/>
  <c r="BX11" i="21" a="1"/>
  <c r="BX11" i="21" s="1"/>
  <c r="BW11" i="21" a="1"/>
  <c r="BW11" i="21" s="1"/>
  <c r="BV11" i="21" a="1"/>
  <c r="BV11" i="21" s="1"/>
  <c r="BU11" i="21" a="1"/>
  <c r="BU11" i="21" s="1"/>
  <c r="BT11" i="21" a="1"/>
  <c r="BT11" i="21" s="1"/>
  <c r="BS11" i="21" a="1"/>
  <c r="BS11" i="21" s="1"/>
  <c r="BR11" i="21" a="1"/>
  <c r="BR11" i="21" s="1"/>
  <c r="BQ11" i="21" a="1"/>
  <c r="BQ11" i="21" s="1"/>
  <c r="BP11" i="21" a="1"/>
  <c r="BP11" i="21" s="1"/>
  <c r="BO11" i="21" a="1"/>
  <c r="BO11" i="21" s="1"/>
  <c r="BN11" i="21" a="1"/>
  <c r="BN11" i="21" s="1"/>
  <c r="BM11" i="21" a="1"/>
  <c r="BM11" i="21" s="1"/>
  <c r="BL11" i="21" a="1"/>
  <c r="BL11" i="21" s="1"/>
  <c r="BK11" i="21" a="1"/>
  <c r="BK11" i="21" s="1"/>
  <c r="BJ11" i="21" a="1"/>
  <c r="BJ11" i="21" s="1"/>
  <c r="BI11" i="21" a="1"/>
  <c r="BI11" i="21" s="1"/>
  <c r="BH11" i="21" a="1"/>
  <c r="BH11" i="21" s="1"/>
  <c r="BG11" i="21" a="1"/>
  <c r="BG11" i="21" s="1"/>
  <c r="BF11" i="21" a="1"/>
  <c r="BF11" i="21" s="1"/>
  <c r="BE11" i="21" a="1"/>
  <c r="BE11" i="21" s="1"/>
  <c r="BD11" i="21" a="1"/>
  <c r="BD11" i="21" s="1"/>
  <c r="BC11" i="21" a="1"/>
  <c r="BC11" i="21" s="1"/>
  <c r="BB11" i="21" a="1"/>
  <c r="BB11" i="21" s="1"/>
  <c r="BA11" i="21" a="1"/>
  <c r="BA11" i="21" s="1"/>
  <c r="AZ11" i="21" a="1"/>
  <c r="AZ11" i="21" s="1"/>
  <c r="AY11" i="21" a="1"/>
  <c r="AY11" i="21" s="1"/>
  <c r="AX11" i="21" a="1"/>
  <c r="AX11" i="21" s="1"/>
  <c r="AW11" i="21" a="1"/>
  <c r="AW11" i="21" s="1"/>
  <c r="AV11" i="21" a="1"/>
  <c r="AV11" i="21" s="1"/>
  <c r="AU11" i="21" a="1"/>
  <c r="AU11" i="21" s="1"/>
  <c r="CK10" i="21" a="1"/>
  <c r="CK10" i="21" s="1"/>
  <c r="CJ10" i="21" a="1"/>
  <c r="CJ10" i="21" s="1"/>
  <c r="CI10" i="21" a="1"/>
  <c r="CI10" i="21" s="1"/>
  <c r="CH10" i="21" a="1"/>
  <c r="CH10" i="21" s="1"/>
  <c r="CG10" i="21" a="1"/>
  <c r="CG10" i="21" s="1"/>
  <c r="CF10" i="21" a="1"/>
  <c r="CF10" i="21" s="1"/>
  <c r="CE10" i="21" a="1"/>
  <c r="CE10" i="21" s="1"/>
  <c r="CD10" i="21" a="1"/>
  <c r="CD10" i="21" s="1"/>
  <c r="CC10" i="21" a="1"/>
  <c r="CC10" i="21" s="1"/>
  <c r="CB10" i="21" a="1"/>
  <c r="CB10" i="21" s="1"/>
  <c r="CA10" i="21" a="1"/>
  <c r="CA10" i="21" s="1"/>
  <c r="BZ10" i="21" a="1"/>
  <c r="BZ10" i="21" s="1"/>
  <c r="BY10" i="21" a="1"/>
  <c r="BY10" i="21" s="1"/>
  <c r="BX10" i="21" a="1"/>
  <c r="BX10" i="21" s="1"/>
  <c r="BW10" i="21" a="1"/>
  <c r="BW10" i="21" s="1"/>
  <c r="BV10" i="21" a="1"/>
  <c r="BV10" i="21" s="1"/>
  <c r="BU10" i="21" a="1"/>
  <c r="BU10" i="21" s="1"/>
  <c r="BT10" i="21" a="1"/>
  <c r="BT10" i="21" s="1"/>
  <c r="BS10" i="21" a="1"/>
  <c r="BS10" i="21" s="1"/>
  <c r="BR10" i="21" a="1"/>
  <c r="BR10" i="21" s="1"/>
  <c r="BQ10" i="21" a="1"/>
  <c r="BQ10" i="21" s="1"/>
  <c r="BP10" i="21" a="1"/>
  <c r="BP10" i="21" s="1"/>
  <c r="BO10" i="21" a="1"/>
  <c r="BO10" i="21" s="1"/>
  <c r="BN10" i="21" a="1"/>
  <c r="BN10" i="21" s="1"/>
  <c r="BM10" i="21" a="1"/>
  <c r="BM10" i="21" s="1"/>
  <c r="BL10" i="21" a="1"/>
  <c r="BL10" i="21" s="1"/>
  <c r="BK10" i="21" a="1"/>
  <c r="BK10" i="21" s="1"/>
  <c r="BJ10" i="21" a="1"/>
  <c r="BJ10" i="21" s="1"/>
  <c r="BI10" i="21" a="1"/>
  <c r="BI10" i="21" s="1"/>
  <c r="BH10" i="21" a="1"/>
  <c r="BH10" i="21" s="1"/>
  <c r="BG10" i="21" a="1"/>
  <c r="BG10" i="21" s="1"/>
  <c r="BF10" i="21" a="1"/>
  <c r="BF10" i="21" s="1"/>
  <c r="BE10" i="21" a="1"/>
  <c r="BE10" i="21" s="1"/>
  <c r="BD10" i="21" a="1"/>
  <c r="BD10" i="21" s="1"/>
  <c r="BC10" i="21" a="1"/>
  <c r="BC10" i="21" s="1"/>
  <c r="BB10" i="21" a="1"/>
  <c r="BB10" i="21" s="1"/>
  <c r="BA10" i="21" a="1"/>
  <c r="BA10" i="21" s="1"/>
  <c r="AZ10" i="21" a="1"/>
  <c r="AZ10" i="21" s="1"/>
  <c r="AY10" i="21" a="1"/>
  <c r="AY10" i="21" s="1"/>
  <c r="AX10" i="21" a="1"/>
  <c r="AX10" i="21" s="1"/>
  <c r="AW10" i="21" a="1"/>
  <c r="AW10" i="21" s="1"/>
  <c r="AV10" i="21" a="1"/>
  <c r="AV10" i="21" s="1"/>
  <c r="AU10" i="21" a="1"/>
  <c r="AU10" i="21" s="1"/>
  <c r="CK9" i="21" a="1"/>
  <c r="CK9" i="21" s="1"/>
  <c r="CJ9" i="21" a="1"/>
  <c r="CJ9" i="21" s="1"/>
  <c r="CI9" i="21" a="1"/>
  <c r="CI9" i="21" s="1"/>
  <c r="CH9" i="21" a="1"/>
  <c r="CH9" i="21" s="1"/>
  <c r="CG9" i="21" a="1"/>
  <c r="CG9" i="21" s="1"/>
  <c r="CF9" i="21" a="1"/>
  <c r="CF9" i="21" s="1"/>
  <c r="CE9" i="21" a="1"/>
  <c r="CE9" i="21" s="1"/>
  <c r="CD9" i="21" a="1"/>
  <c r="CD9" i="21" s="1"/>
  <c r="CC9" i="21" a="1"/>
  <c r="CC9" i="21" s="1"/>
  <c r="CB9" i="21" a="1"/>
  <c r="CB9" i="21" s="1"/>
  <c r="CA9" i="21" a="1"/>
  <c r="CA9" i="21" s="1"/>
  <c r="BZ9" i="21" a="1"/>
  <c r="BZ9" i="21" s="1"/>
  <c r="BY9" i="21" a="1"/>
  <c r="BY9" i="21" s="1"/>
  <c r="BX9" i="21" a="1"/>
  <c r="BX9" i="21" s="1"/>
  <c r="BW9" i="21" a="1"/>
  <c r="BW9" i="21" s="1"/>
  <c r="BV9" i="21" a="1"/>
  <c r="BV9" i="21" s="1"/>
  <c r="BU9" i="21" a="1"/>
  <c r="BU9" i="21" s="1"/>
  <c r="BT9" i="21" a="1"/>
  <c r="BT9" i="21" s="1"/>
  <c r="BS9" i="21" a="1"/>
  <c r="BS9" i="21" s="1"/>
  <c r="BR9" i="21" a="1"/>
  <c r="BR9" i="21" s="1"/>
  <c r="BQ9" i="21" a="1"/>
  <c r="BQ9" i="21" s="1"/>
  <c r="BP9" i="21" a="1"/>
  <c r="BP9" i="21" s="1"/>
  <c r="BO9" i="21" a="1"/>
  <c r="BO9" i="21" s="1"/>
  <c r="BN9" i="21" a="1"/>
  <c r="BN9" i="21" s="1"/>
  <c r="BM9" i="21" a="1"/>
  <c r="BM9" i="21" s="1"/>
  <c r="BL9" i="21" a="1"/>
  <c r="BL9" i="21" s="1"/>
  <c r="BK9" i="21" a="1"/>
  <c r="BK9" i="21" s="1"/>
  <c r="BJ9" i="21" a="1"/>
  <c r="BJ9" i="21" s="1"/>
  <c r="BI9" i="21" a="1"/>
  <c r="BI9" i="21" s="1"/>
  <c r="BH9" i="21" a="1"/>
  <c r="BH9" i="21" s="1"/>
  <c r="BG9" i="21" a="1"/>
  <c r="BG9" i="21" s="1"/>
  <c r="BF9" i="21" a="1"/>
  <c r="BF9" i="21" s="1"/>
  <c r="BE9" i="21" a="1"/>
  <c r="BE9" i="21" s="1"/>
  <c r="BD9" i="21" a="1"/>
  <c r="BD9" i="21" s="1"/>
  <c r="BC9" i="21" a="1"/>
  <c r="BC9" i="21" s="1"/>
  <c r="BB9" i="21" a="1"/>
  <c r="BB9" i="21" s="1"/>
  <c r="BA9" i="21" a="1"/>
  <c r="BA9" i="21" s="1"/>
  <c r="AZ9" i="21" a="1"/>
  <c r="AZ9" i="21" s="1"/>
  <c r="AY9" i="21" a="1"/>
  <c r="AY9" i="21" s="1"/>
  <c r="AX9" i="21" a="1"/>
  <c r="AX9" i="21" s="1"/>
  <c r="AW9" i="21" a="1"/>
  <c r="AW9" i="21" s="1"/>
  <c r="AV9" i="21" a="1"/>
  <c r="AV9" i="21" s="1"/>
  <c r="AU9" i="21" a="1"/>
  <c r="AU9" i="21" s="1"/>
  <c r="CK8" i="21" a="1"/>
  <c r="CK8" i="21" s="1"/>
  <c r="CJ8" i="21" a="1"/>
  <c r="CJ8" i="21" s="1"/>
  <c r="CI8" i="21" a="1"/>
  <c r="CI8" i="21" s="1"/>
  <c r="CH8" i="21" a="1"/>
  <c r="CH8" i="21" s="1"/>
  <c r="CG8" i="21" a="1"/>
  <c r="CG8" i="21" s="1"/>
  <c r="CF8" i="21" a="1"/>
  <c r="CF8" i="21" s="1"/>
  <c r="CE8" i="21" a="1"/>
  <c r="CE8" i="21" s="1"/>
  <c r="CD8" i="21" a="1"/>
  <c r="CD8" i="21" s="1"/>
  <c r="CC8" i="21" a="1"/>
  <c r="CC8" i="21" s="1"/>
  <c r="CB8" i="21" a="1"/>
  <c r="CB8" i="21" s="1"/>
  <c r="CA8" i="21" a="1"/>
  <c r="CA8" i="21" s="1"/>
  <c r="BZ8" i="21" a="1"/>
  <c r="BZ8" i="21" s="1"/>
  <c r="BY8" i="21" a="1"/>
  <c r="BY8" i="21" s="1"/>
  <c r="BX8" i="21" a="1"/>
  <c r="BX8" i="21" s="1"/>
  <c r="BW8" i="21" a="1"/>
  <c r="BW8" i="21" s="1"/>
  <c r="BV8" i="21" a="1"/>
  <c r="BV8" i="21" s="1"/>
  <c r="BU8" i="21" a="1"/>
  <c r="BU8" i="21" s="1"/>
  <c r="BT8" i="21" a="1"/>
  <c r="BT8" i="21" s="1"/>
  <c r="BS8" i="21" a="1"/>
  <c r="BS8" i="21" s="1"/>
  <c r="BR8" i="21" a="1"/>
  <c r="BR8" i="21" s="1"/>
  <c r="BQ8" i="21" a="1"/>
  <c r="BQ8" i="21" s="1"/>
  <c r="BP8" i="21" a="1"/>
  <c r="BP8" i="21" s="1"/>
  <c r="BO8" i="21" a="1"/>
  <c r="BO8" i="21" s="1"/>
  <c r="BN8" i="21" a="1"/>
  <c r="BN8" i="21" s="1"/>
  <c r="BM8" i="21" a="1"/>
  <c r="BM8" i="21" s="1"/>
  <c r="BL8" i="21" a="1"/>
  <c r="BL8" i="21" s="1"/>
  <c r="BK8" i="21" a="1"/>
  <c r="BK8" i="21" s="1"/>
  <c r="BJ8" i="21" a="1"/>
  <c r="BJ8" i="21" s="1"/>
  <c r="BI8" i="21" a="1"/>
  <c r="BI8" i="21" s="1"/>
  <c r="BH8" i="21" a="1"/>
  <c r="BH8" i="21" s="1"/>
  <c r="BG8" i="21" a="1"/>
  <c r="BG8" i="21" s="1"/>
  <c r="BF8" i="21" a="1"/>
  <c r="BF8" i="21" s="1"/>
  <c r="BE8" i="21" a="1"/>
  <c r="BE8" i="21" s="1"/>
  <c r="BD8" i="21" a="1"/>
  <c r="BD8" i="21" s="1"/>
  <c r="BC8" i="21" a="1"/>
  <c r="BC8" i="21" s="1"/>
  <c r="BB8" i="21" a="1"/>
  <c r="BB8" i="21" s="1"/>
  <c r="BA8" i="21" a="1"/>
  <c r="BA8" i="21" s="1"/>
  <c r="AZ8" i="21" a="1"/>
  <c r="AZ8" i="21" s="1"/>
  <c r="AY8" i="21" a="1"/>
  <c r="AY8" i="21" s="1"/>
  <c r="AX8" i="21" a="1"/>
  <c r="AX8" i="21" s="1"/>
  <c r="AW8" i="21" a="1"/>
  <c r="AW8" i="21" s="1"/>
  <c r="AV8" i="21" a="1"/>
  <c r="AV8" i="21" s="1"/>
  <c r="AU8" i="21" a="1"/>
  <c r="AU8" i="21" s="1"/>
  <c r="CK7" i="21" a="1"/>
  <c r="CK7" i="21" s="1"/>
  <c r="CJ7" i="21" a="1"/>
  <c r="CJ7" i="21" s="1"/>
  <c r="CI7" i="21" a="1"/>
  <c r="CI7" i="21" s="1"/>
  <c r="CH7" i="21" a="1"/>
  <c r="CH7" i="21" s="1"/>
  <c r="CG7" i="21" a="1"/>
  <c r="CG7" i="21" s="1"/>
  <c r="CF7" i="21" a="1"/>
  <c r="CF7" i="21" s="1"/>
  <c r="CE7" i="21" a="1"/>
  <c r="CE7" i="21" s="1"/>
  <c r="CD7" i="21" a="1"/>
  <c r="CD7" i="21" s="1"/>
  <c r="CC7" i="21" a="1"/>
  <c r="CC7" i="21" s="1"/>
  <c r="CB7" i="21" a="1"/>
  <c r="CB7" i="21" s="1"/>
  <c r="CA7" i="21" a="1"/>
  <c r="CA7" i="21" s="1"/>
  <c r="BZ7" i="21" a="1"/>
  <c r="BZ7" i="21" s="1"/>
  <c r="BY7" i="21" a="1"/>
  <c r="BY7" i="21" s="1"/>
  <c r="BX7" i="21" a="1"/>
  <c r="BX7" i="21" s="1"/>
  <c r="BW7" i="21" a="1"/>
  <c r="BW7" i="21" s="1"/>
  <c r="BV7" i="21" a="1"/>
  <c r="BV7" i="21" s="1"/>
  <c r="BU7" i="21" a="1"/>
  <c r="BU7" i="21" s="1"/>
  <c r="BT7" i="21" a="1"/>
  <c r="BT7" i="21" s="1"/>
  <c r="BS7" i="21" a="1"/>
  <c r="BS7" i="21" s="1"/>
  <c r="BR7" i="21" a="1"/>
  <c r="BR7" i="21" s="1"/>
  <c r="BQ7" i="21" a="1"/>
  <c r="BQ7" i="21" s="1"/>
  <c r="BP7" i="21" a="1"/>
  <c r="BP7" i="21" s="1"/>
  <c r="BO7" i="21" a="1"/>
  <c r="BO7" i="21" s="1"/>
  <c r="BN7" i="21" a="1"/>
  <c r="BN7" i="21" s="1"/>
  <c r="BM7" i="21" a="1"/>
  <c r="BM7" i="21" s="1"/>
  <c r="BL7" i="21" a="1"/>
  <c r="BL7" i="21" s="1"/>
  <c r="BK7" i="21" a="1"/>
  <c r="BK7" i="21" s="1"/>
  <c r="BJ7" i="21" a="1"/>
  <c r="BJ7" i="21" s="1"/>
  <c r="BI7" i="21" a="1"/>
  <c r="BI7" i="21" s="1"/>
  <c r="BH7" i="21" a="1"/>
  <c r="BH7" i="21" s="1"/>
  <c r="BG7" i="21" a="1"/>
  <c r="BG7" i="21" s="1"/>
  <c r="BF7" i="21" a="1"/>
  <c r="BF7" i="21" s="1"/>
  <c r="BE7" i="21" a="1"/>
  <c r="BE7" i="21" s="1"/>
  <c r="BD7" i="21" a="1"/>
  <c r="BD7" i="21" s="1"/>
  <c r="BC7" i="21" a="1"/>
  <c r="BC7" i="21" s="1"/>
  <c r="BB7" i="21" a="1"/>
  <c r="BB7" i="21" s="1"/>
  <c r="BA7" i="21" a="1"/>
  <c r="BA7" i="21" s="1"/>
  <c r="AZ7" i="21" a="1"/>
  <c r="AZ7" i="21" s="1"/>
  <c r="AY7" i="21" a="1"/>
  <c r="AY7" i="21" s="1"/>
  <c r="AX7" i="21" a="1"/>
  <c r="AX7" i="21" s="1"/>
  <c r="AW7" i="21" a="1"/>
  <c r="AW7" i="21" s="1"/>
  <c r="AV7" i="21" a="1"/>
  <c r="AV7" i="21" s="1"/>
  <c r="AU7" i="21" a="1"/>
  <c r="AU7" i="21" s="1"/>
  <c r="CK6" i="21" a="1"/>
  <c r="CK6" i="21" s="1"/>
  <c r="CJ6" i="21" a="1"/>
  <c r="CJ6" i="21" s="1"/>
  <c r="CI6" i="21" a="1"/>
  <c r="CI6" i="21" s="1"/>
  <c r="CH6" i="21" a="1"/>
  <c r="CH6" i="21" s="1"/>
  <c r="CG6" i="21" a="1"/>
  <c r="CG6" i="21" s="1"/>
  <c r="CF6" i="21" a="1"/>
  <c r="CF6" i="21" s="1"/>
  <c r="CE6" i="21" a="1"/>
  <c r="CE6" i="21" s="1"/>
  <c r="CD6" i="21" a="1"/>
  <c r="CD6" i="21" s="1"/>
  <c r="CC6" i="21" a="1"/>
  <c r="CC6" i="21" s="1"/>
  <c r="CB6" i="21" a="1"/>
  <c r="CB6" i="21" s="1"/>
  <c r="CA6" i="21" a="1"/>
  <c r="CA6" i="21" s="1"/>
  <c r="BZ6" i="21" a="1"/>
  <c r="BZ6" i="21" s="1"/>
  <c r="BY6" i="21" a="1"/>
  <c r="BY6" i="21" s="1"/>
  <c r="BX6" i="21" a="1"/>
  <c r="BX6" i="21" s="1"/>
  <c r="BW6" i="21" a="1"/>
  <c r="BW6" i="21" s="1"/>
  <c r="BV6" i="21" a="1"/>
  <c r="BV6" i="21" s="1"/>
  <c r="BU6" i="21" a="1"/>
  <c r="BU6" i="21" s="1"/>
  <c r="BT6" i="21" a="1"/>
  <c r="BT6" i="21" s="1"/>
  <c r="BS6" i="21" a="1"/>
  <c r="BS6" i="21" s="1"/>
  <c r="BR6" i="21" a="1"/>
  <c r="BR6" i="21" s="1"/>
  <c r="BQ6" i="21" a="1"/>
  <c r="BQ6" i="21" s="1"/>
  <c r="BP6" i="21" a="1"/>
  <c r="BP6" i="21" s="1"/>
  <c r="BO6" i="21" a="1"/>
  <c r="BO6" i="21" s="1"/>
  <c r="BN6" i="21" a="1"/>
  <c r="BN6" i="21" s="1"/>
  <c r="BM6" i="21" a="1"/>
  <c r="BM6" i="21" s="1"/>
  <c r="BL6" i="21" a="1"/>
  <c r="BL6" i="21" s="1"/>
  <c r="BK6" i="21" a="1"/>
  <c r="BK6" i="21" s="1"/>
  <c r="BJ6" i="21" a="1"/>
  <c r="BJ6" i="21" s="1"/>
  <c r="BI6" i="21" a="1"/>
  <c r="BI6" i="21" s="1"/>
  <c r="BH6" i="21" a="1"/>
  <c r="BH6" i="21" s="1"/>
  <c r="BG6" i="21" a="1"/>
  <c r="BG6" i="21" s="1"/>
  <c r="BF6" i="21" a="1"/>
  <c r="BF6" i="21" s="1"/>
  <c r="BE6" i="21" a="1"/>
  <c r="BE6" i="21" s="1"/>
  <c r="BD6" i="21" a="1"/>
  <c r="BD6" i="21" s="1"/>
  <c r="BC6" i="21" a="1"/>
  <c r="BC6" i="21" s="1"/>
  <c r="BB6" i="21" a="1"/>
  <c r="BB6" i="21" s="1"/>
  <c r="BA6" i="21" a="1"/>
  <c r="BA6" i="21" s="1"/>
  <c r="AZ6" i="21" a="1"/>
  <c r="AZ6" i="21" s="1"/>
  <c r="AY6" i="21" a="1"/>
  <c r="AY6" i="21" s="1"/>
  <c r="AX6" i="21" a="1"/>
  <c r="AX6" i="21" s="1"/>
  <c r="AW6" i="21" a="1"/>
  <c r="AW6" i="21" s="1"/>
  <c r="AV6" i="21" a="1"/>
  <c r="AV6" i="21" s="1"/>
  <c r="AU6" i="21" a="1"/>
  <c r="AU6" i="21" s="1"/>
  <c r="CK5" i="21" a="1"/>
  <c r="CK5" i="21" s="1"/>
  <c r="CJ5" i="21" a="1"/>
  <c r="CJ5" i="21" s="1"/>
  <c r="CI5" i="21" a="1"/>
  <c r="CI5" i="21" s="1"/>
  <c r="CH5" i="21" a="1"/>
  <c r="CH5" i="21" s="1"/>
  <c r="CG5" i="21" a="1"/>
  <c r="CG5" i="21" s="1"/>
  <c r="CF5" i="21" a="1"/>
  <c r="CF5" i="21" s="1"/>
  <c r="CE5" i="21" a="1"/>
  <c r="CE5" i="21" s="1"/>
  <c r="CD5" i="21" a="1"/>
  <c r="CD5" i="21" s="1"/>
  <c r="CC5" i="21" a="1"/>
  <c r="CC5" i="21" s="1"/>
  <c r="CB5" i="21" a="1"/>
  <c r="CB5" i="21" s="1"/>
  <c r="CA5" i="21" a="1"/>
  <c r="CA5" i="21" s="1"/>
  <c r="BZ5" i="21" a="1"/>
  <c r="BZ5" i="21" s="1"/>
  <c r="BY5" i="21" a="1"/>
  <c r="BY5" i="21" s="1"/>
  <c r="BX5" i="21" a="1"/>
  <c r="BX5" i="21" s="1"/>
  <c r="BW5" i="21" a="1"/>
  <c r="BW5" i="21" s="1"/>
  <c r="BV5" i="21" a="1"/>
  <c r="BV5" i="21" s="1"/>
  <c r="BU5" i="21" a="1"/>
  <c r="BU5" i="21" s="1"/>
  <c r="BT5" i="21" a="1"/>
  <c r="BT5" i="21" s="1"/>
  <c r="BS5" i="21" a="1"/>
  <c r="BS5" i="21" s="1"/>
  <c r="BR5" i="21" a="1"/>
  <c r="BR5" i="21" s="1"/>
  <c r="BQ5" i="21" a="1"/>
  <c r="BQ5" i="21" s="1"/>
  <c r="BP5" i="21" a="1"/>
  <c r="BP5" i="21" s="1"/>
  <c r="BO5" i="21" a="1"/>
  <c r="BO5" i="21" s="1"/>
  <c r="BN5" i="21" a="1"/>
  <c r="BN5" i="21" s="1"/>
  <c r="BM5" i="21" a="1"/>
  <c r="BM5" i="21" s="1"/>
  <c r="BL5" i="21" a="1"/>
  <c r="BL5" i="21" s="1"/>
  <c r="BK5" i="21" a="1"/>
  <c r="BK5" i="21" s="1"/>
  <c r="BJ5" i="21" a="1"/>
  <c r="BJ5" i="21" s="1"/>
  <c r="BI5" i="21" a="1"/>
  <c r="BI5" i="21" s="1"/>
  <c r="BH5" i="21" a="1"/>
  <c r="BH5" i="21" s="1"/>
  <c r="BG5" i="21" a="1"/>
  <c r="BG5" i="21" s="1"/>
  <c r="BF5" i="21" a="1"/>
  <c r="BF5" i="21" s="1"/>
  <c r="BE5" i="21" a="1"/>
  <c r="BE5" i="21" s="1"/>
  <c r="BD5" i="21" a="1"/>
  <c r="BD5" i="21" s="1"/>
  <c r="BC5" i="21" a="1"/>
  <c r="BC5" i="21" s="1"/>
  <c r="BB5" i="21" a="1"/>
  <c r="BB5" i="21" s="1"/>
  <c r="BA5" i="21" a="1"/>
  <c r="BA5" i="21" s="1"/>
  <c r="AZ5" i="21" a="1"/>
  <c r="AZ5" i="21" s="1"/>
  <c r="AY5" i="21" a="1"/>
  <c r="AY5" i="21" s="1"/>
  <c r="AX5" i="21" a="1"/>
  <c r="AX5" i="21" s="1"/>
  <c r="AW5" i="21" a="1"/>
  <c r="AW5" i="21" s="1"/>
  <c r="AV5" i="21" a="1"/>
  <c r="AV5" i="21" s="1"/>
  <c r="AU5" i="21" a="1"/>
  <c r="AU5" i="21" s="1"/>
  <c r="CK4" i="21" a="1"/>
  <c r="CK4" i="21" s="1"/>
  <c r="CJ4" i="21" a="1"/>
  <c r="CJ4" i="21" s="1"/>
  <c r="CI4" i="21" a="1"/>
  <c r="CI4" i="21" s="1"/>
  <c r="CH4" i="21" a="1"/>
  <c r="CH4" i="21" s="1"/>
  <c r="CG4" i="21" a="1"/>
  <c r="CG4" i="21" s="1"/>
  <c r="CF4" i="21" a="1"/>
  <c r="CF4" i="21" s="1"/>
  <c r="CE4" i="21" a="1"/>
  <c r="CE4" i="21" s="1"/>
  <c r="CD4" i="21" a="1"/>
  <c r="CD4" i="21" s="1"/>
  <c r="CC4" i="21" a="1"/>
  <c r="CC4" i="21" s="1"/>
  <c r="CB4" i="21" a="1"/>
  <c r="CB4" i="21" s="1"/>
  <c r="CA4" i="21" a="1"/>
  <c r="CA4" i="21" s="1"/>
  <c r="BZ4" i="21" a="1"/>
  <c r="BZ4" i="21" s="1"/>
  <c r="BY4" i="21" a="1"/>
  <c r="BY4" i="21" s="1"/>
  <c r="BX4" i="21" a="1"/>
  <c r="BX4" i="21" s="1"/>
  <c r="BW4" i="21" a="1"/>
  <c r="BW4" i="21" s="1"/>
  <c r="BV4" i="21" a="1"/>
  <c r="BV4" i="21" s="1"/>
  <c r="BU4" i="21" a="1"/>
  <c r="BU4" i="21" s="1"/>
  <c r="BT4" i="21" a="1"/>
  <c r="BT4" i="21" s="1"/>
  <c r="BS4" i="21" a="1"/>
  <c r="BS4" i="21" s="1"/>
  <c r="BR4" i="21" a="1"/>
  <c r="BR4" i="21" s="1"/>
  <c r="BQ4" i="21" a="1"/>
  <c r="BQ4" i="21" s="1"/>
  <c r="BP4" i="21" a="1"/>
  <c r="BP4" i="21" s="1"/>
  <c r="BO4" i="21" a="1"/>
  <c r="BO4" i="21" s="1"/>
  <c r="BN4" i="21" a="1"/>
  <c r="BN4" i="21" s="1"/>
  <c r="BM4" i="21" a="1"/>
  <c r="BM4" i="21" s="1"/>
  <c r="BL4" i="21" a="1"/>
  <c r="BL4" i="21" s="1"/>
  <c r="BK4" i="21" a="1"/>
  <c r="BK4" i="21" s="1"/>
  <c r="BJ4" i="21" a="1"/>
  <c r="BJ4" i="21" s="1"/>
  <c r="BI4" i="21" a="1"/>
  <c r="BI4" i="21" s="1"/>
  <c r="BH4" i="21" a="1"/>
  <c r="BH4" i="21" s="1"/>
  <c r="BG4" i="21" a="1"/>
  <c r="BG4" i="21" s="1"/>
  <c r="BF4" i="21" a="1"/>
  <c r="BF4" i="21" s="1"/>
  <c r="BE4" i="21" a="1"/>
  <c r="BE4" i="21" s="1"/>
  <c r="BD4" i="21" a="1"/>
  <c r="BD4" i="21" s="1"/>
  <c r="BC4" i="21" a="1"/>
  <c r="BC4" i="21" s="1"/>
  <c r="BB4" i="21" a="1"/>
  <c r="BB4" i="21" s="1"/>
  <c r="BA4" i="21" a="1"/>
  <c r="BA4" i="21" s="1"/>
  <c r="AZ4" i="21" a="1"/>
  <c r="AZ4" i="21" s="1"/>
  <c r="AY4" i="21" a="1"/>
  <c r="AY4" i="21" s="1"/>
  <c r="AX4" i="21" a="1"/>
  <c r="AX4" i="21" s="1"/>
  <c r="AW4" i="21" a="1"/>
  <c r="AW4" i="21" s="1"/>
  <c r="AV4" i="21" a="1"/>
  <c r="AV4" i="21" s="1"/>
  <c r="AU4" i="21" a="1"/>
  <c r="AU4" i="21" s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2" i="5"/>
  <c r="E582" i="5"/>
  <c r="F582" i="5" s="1"/>
  <c r="E557" i="5"/>
  <c r="F557" i="5" s="1"/>
  <c r="B557" i="5"/>
  <c r="C557" i="5" s="1"/>
  <c r="B59" i="5"/>
  <c r="C59" i="5" s="1"/>
  <c r="E59" i="5"/>
  <c r="F59" i="5" s="1"/>
  <c r="E2" i="5"/>
  <c r="F2" i="5" s="1"/>
  <c r="E3" i="5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F55" i="5" s="1"/>
  <c r="E56" i="5"/>
  <c r="F56" i="5" s="1"/>
  <c r="E57" i="5"/>
  <c r="F57" i="5" s="1"/>
  <c r="E58" i="5"/>
  <c r="F58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 s="1"/>
  <c r="E72" i="5"/>
  <c r="F72" i="5" s="1"/>
  <c r="E73" i="5"/>
  <c r="F73" i="5" s="1"/>
  <c r="E74" i="5"/>
  <c r="F74" i="5" s="1"/>
  <c r="E75" i="5"/>
  <c r="F75" i="5" s="1"/>
  <c r="E76" i="5"/>
  <c r="F76" i="5" s="1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F83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2" i="5"/>
  <c r="F92" i="5" s="1"/>
  <c r="E93" i="5"/>
  <c r="F93" i="5" s="1"/>
  <c r="E94" i="5"/>
  <c r="F94" i="5" s="1"/>
  <c r="E95" i="5"/>
  <c r="F95" i="5" s="1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 s="1"/>
  <c r="E104" i="5"/>
  <c r="F104" i="5" s="1"/>
  <c r="E105" i="5"/>
  <c r="F105" i="5" s="1"/>
  <c r="E106" i="5"/>
  <c r="F106" i="5" s="1"/>
  <c r="E107" i="5"/>
  <c r="F107" i="5" s="1"/>
  <c r="E108" i="5"/>
  <c r="F108" i="5" s="1"/>
  <c r="E109" i="5"/>
  <c r="F109" i="5" s="1"/>
  <c r="E110" i="5"/>
  <c r="F110" i="5" s="1"/>
  <c r="E111" i="5"/>
  <c r="F111" i="5" s="1"/>
  <c r="E112" i="5"/>
  <c r="F112" i="5" s="1"/>
  <c r="E113" i="5"/>
  <c r="F113" i="5" s="1"/>
  <c r="E114" i="5"/>
  <c r="F114" i="5" s="1"/>
  <c r="E115" i="5"/>
  <c r="F115" i="5" s="1"/>
  <c r="E116" i="5"/>
  <c r="F116" i="5" s="1"/>
  <c r="E117" i="5"/>
  <c r="F117" i="5" s="1"/>
  <c r="E118" i="5"/>
  <c r="F118" i="5" s="1"/>
  <c r="E119" i="5"/>
  <c r="F119" i="5" s="1"/>
  <c r="E120" i="5"/>
  <c r="F120" i="5" s="1"/>
  <c r="E121" i="5"/>
  <c r="F121" i="5" s="1"/>
  <c r="E122" i="5"/>
  <c r="F122" i="5" s="1"/>
  <c r="E123" i="5"/>
  <c r="F123" i="5" s="1"/>
  <c r="E124" i="5"/>
  <c r="F124" i="5" s="1"/>
  <c r="E125" i="5"/>
  <c r="F125" i="5" s="1"/>
  <c r="E126" i="5"/>
  <c r="F126" i="5" s="1"/>
  <c r="E127" i="5"/>
  <c r="F127" i="5" s="1"/>
  <c r="E128" i="5"/>
  <c r="F128" i="5" s="1"/>
  <c r="E129" i="5"/>
  <c r="F129" i="5" s="1"/>
  <c r="E130" i="5"/>
  <c r="F130" i="5" s="1"/>
  <c r="E131" i="5"/>
  <c r="F131" i="5" s="1"/>
  <c r="E132" i="5"/>
  <c r="F132" i="5" s="1"/>
  <c r="E133" i="5"/>
  <c r="F133" i="5" s="1"/>
  <c r="E134" i="5"/>
  <c r="F134" i="5" s="1"/>
  <c r="E135" i="5"/>
  <c r="F135" i="5" s="1"/>
  <c r="E136" i="5"/>
  <c r="F136" i="5" s="1"/>
  <c r="E137" i="5"/>
  <c r="F137" i="5" s="1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 s="1"/>
  <c r="E144" i="5"/>
  <c r="F144" i="5" s="1"/>
  <c r="E145" i="5"/>
  <c r="F145" i="5" s="1"/>
  <c r="E146" i="5"/>
  <c r="F146" i="5" s="1"/>
  <c r="E147" i="5"/>
  <c r="F147" i="5" s="1"/>
  <c r="E148" i="5"/>
  <c r="F148" i="5" s="1"/>
  <c r="E149" i="5"/>
  <c r="F149" i="5" s="1"/>
  <c r="E150" i="5"/>
  <c r="F150" i="5" s="1"/>
  <c r="E151" i="5"/>
  <c r="F151" i="5" s="1"/>
  <c r="E152" i="5"/>
  <c r="F152" i="5" s="1"/>
  <c r="E153" i="5"/>
  <c r="F153" i="5" s="1"/>
  <c r="E154" i="5"/>
  <c r="F154" i="5" s="1"/>
  <c r="E155" i="5"/>
  <c r="F155" i="5" s="1"/>
  <c r="E156" i="5"/>
  <c r="F156" i="5" s="1"/>
  <c r="E157" i="5"/>
  <c r="F157" i="5" s="1"/>
  <c r="E158" i="5"/>
  <c r="F158" i="5" s="1"/>
  <c r="E159" i="5"/>
  <c r="F159" i="5" s="1"/>
  <c r="E160" i="5"/>
  <c r="F160" i="5" s="1"/>
  <c r="E161" i="5"/>
  <c r="F161" i="5" s="1"/>
  <c r="E162" i="5"/>
  <c r="F162" i="5" s="1"/>
  <c r="E163" i="5"/>
  <c r="F163" i="5" s="1"/>
  <c r="E164" i="5"/>
  <c r="F164" i="5" s="1"/>
  <c r="E165" i="5"/>
  <c r="F165" i="5" s="1"/>
  <c r="E166" i="5"/>
  <c r="F166" i="5" s="1"/>
  <c r="E167" i="5"/>
  <c r="F167" i="5" s="1"/>
  <c r="E168" i="5"/>
  <c r="F168" i="5" s="1"/>
  <c r="E169" i="5"/>
  <c r="F169" i="5" s="1"/>
  <c r="E170" i="5"/>
  <c r="F170" i="5" s="1"/>
  <c r="E171" i="5"/>
  <c r="F171" i="5" s="1"/>
  <c r="E172" i="5"/>
  <c r="F172" i="5" s="1"/>
  <c r="E173" i="5"/>
  <c r="F173" i="5" s="1"/>
  <c r="E174" i="5"/>
  <c r="F174" i="5" s="1"/>
  <c r="E175" i="5"/>
  <c r="F175" i="5" s="1"/>
  <c r="E176" i="5"/>
  <c r="F176" i="5" s="1"/>
  <c r="E177" i="5"/>
  <c r="F177" i="5" s="1"/>
  <c r="E178" i="5"/>
  <c r="F178" i="5" s="1"/>
  <c r="E179" i="5"/>
  <c r="F179" i="5" s="1"/>
  <c r="E180" i="5"/>
  <c r="F180" i="5" s="1"/>
  <c r="E181" i="5"/>
  <c r="F181" i="5" s="1"/>
  <c r="E182" i="5"/>
  <c r="F182" i="5" s="1"/>
  <c r="E183" i="5"/>
  <c r="F183" i="5" s="1"/>
  <c r="E184" i="5"/>
  <c r="F184" i="5" s="1"/>
  <c r="E185" i="5"/>
  <c r="F185" i="5" s="1"/>
  <c r="E186" i="5"/>
  <c r="F186" i="5" s="1"/>
  <c r="E187" i="5"/>
  <c r="F187" i="5" s="1"/>
  <c r="E188" i="5"/>
  <c r="F188" i="5" s="1"/>
  <c r="E189" i="5"/>
  <c r="F189" i="5" s="1"/>
  <c r="E190" i="5"/>
  <c r="F190" i="5" s="1"/>
  <c r="E191" i="5"/>
  <c r="F191" i="5" s="1"/>
  <c r="E192" i="5"/>
  <c r="F192" i="5" s="1"/>
  <c r="E193" i="5"/>
  <c r="F193" i="5" s="1"/>
  <c r="E194" i="5"/>
  <c r="F194" i="5" s="1"/>
  <c r="E195" i="5"/>
  <c r="F195" i="5" s="1"/>
  <c r="E196" i="5"/>
  <c r="F196" i="5" s="1"/>
  <c r="E197" i="5"/>
  <c r="F197" i="5" s="1"/>
  <c r="E198" i="5"/>
  <c r="F198" i="5" s="1"/>
  <c r="E199" i="5"/>
  <c r="F199" i="5" s="1"/>
  <c r="E200" i="5"/>
  <c r="F200" i="5" s="1"/>
  <c r="E201" i="5"/>
  <c r="F201" i="5" s="1"/>
  <c r="E202" i="5"/>
  <c r="F202" i="5" s="1"/>
  <c r="E203" i="5"/>
  <c r="F203" i="5" s="1"/>
  <c r="E204" i="5"/>
  <c r="F204" i="5" s="1"/>
  <c r="E205" i="5"/>
  <c r="F205" i="5" s="1"/>
  <c r="E206" i="5"/>
  <c r="F206" i="5" s="1"/>
  <c r="E207" i="5"/>
  <c r="F207" i="5" s="1"/>
  <c r="E208" i="5"/>
  <c r="F208" i="5" s="1"/>
  <c r="E209" i="5"/>
  <c r="F209" i="5" s="1"/>
  <c r="E210" i="5"/>
  <c r="F210" i="5" s="1"/>
  <c r="E211" i="5"/>
  <c r="F211" i="5" s="1"/>
  <c r="E212" i="5"/>
  <c r="F212" i="5" s="1"/>
  <c r="E213" i="5"/>
  <c r="F213" i="5" s="1"/>
  <c r="E214" i="5"/>
  <c r="F214" i="5" s="1"/>
  <c r="E215" i="5"/>
  <c r="F215" i="5" s="1"/>
  <c r="E216" i="5"/>
  <c r="F216" i="5" s="1"/>
  <c r="E217" i="5"/>
  <c r="F217" i="5" s="1"/>
  <c r="E218" i="5"/>
  <c r="F218" i="5" s="1"/>
  <c r="E219" i="5"/>
  <c r="F219" i="5" s="1"/>
  <c r="E220" i="5"/>
  <c r="F220" i="5" s="1"/>
  <c r="E221" i="5"/>
  <c r="F221" i="5" s="1"/>
  <c r="E222" i="5"/>
  <c r="F222" i="5" s="1"/>
  <c r="E223" i="5"/>
  <c r="F223" i="5" s="1"/>
  <c r="E224" i="5"/>
  <c r="F224" i="5" s="1"/>
  <c r="E225" i="5"/>
  <c r="F225" i="5" s="1"/>
  <c r="E226" i="5"/>
  <c r="F226" i="5" s="1"/>
  <c r="E227" i="5"/>
  <c r="F227" i="5" s="1"/>
  <c r="E228" i="5"/>
  <c r="F228" i="5" s="1"/>
  <c r="E229" i="5"/>
  <c r="F229" i="5" s="1"/>
  <c r="E230" i="5"/>
  <c r="F230" i="5" s="1"/>
  <c r="E231" i="5"/>
  <c r="F231" i="5" s="1"/>
  <c r="E232" i="5"/>
  <c r="F232" i="5" s="1"/>
  <c r="E233" i="5"/>
  <c r="F233" i="5" s="1"/>
  <c r="E234" i="5"/>
  <c r="F234" i="5" s="1"/>
  <c r="E235" i="5"/>
  <c r="F235" i="5" s="1"/>
  <c r="E236" i="5"/>
  <c r="F236" i="5" s="1"/>
  <c r="E237" i="5"/>
  <c r="F237" i="5" s="1"/>
  <c r="E238" i="5"/>
  <c r="F238" i="5" s="1"/>
  <c r="E239" i="5"/>
  <c r="F239" i="5" s="1"/>
  <c r="E240" i="5"/>
  <c r="F240" i="5" s="1"/>
  <c r="E241" i="5"/>
  <c r="F241" i="5" s="1"/>
  <c r="E242" i="5"/>
  <c r="F242" i="5" s="1"/>
  <c r="E243" i="5"/>
  <c r="F243" i="5" s="1"/>
  <c r="E244" i="5"/>
  <c r="F244" i="5" s="1"/>
  <c r="E245" i="5"/>
  <c r="F245" i="5" s="1"/>
  <c r="E246" i="5"/>
  <c r="F246" i="5" s="1"/>
  <c r="E247" i="5"/>
  <c r="F247" i="5" s="1"/>
  <c r="E248" i="5"/>
  <c r="F248" i="5" s="1"/>
  <c r="E249" i="5"/>
  <c r="F249" i="5" s="1"/>
  <c r="E250" i="5"/>
  <c r="F250" i="5" s="1"/>
  <c r="E251" i="5"/>
  <c r="F251" i="5" s="1"/>
  <c r="E252" i="5"/>
  <c r="F252" i="5" s="1"/>
  <c r="E253" i="5"/>
  <c r="F253" i="5" s="1"/>
  <c r="E254" i="5"/>
  <c r="F254" i="5" s="1"/>
  <c r="E255" i="5"/>
  <c r="F255" i="5" s="1"/>
  <c r="E256" i="5"/>
  <c r="F256" i="5" s="1"/>
  <c r="E257" i="5"/>
  <c r="F257" i="5" s="1"/>
  <c r="E258" i="5"/>
  <c r="F258" i="5" s="1"/>
  <c r="E259" i="5"/>
  <c r="F259" i="5" s="1"/>
  <c r="E260" i="5"/>
  <c r="F260" i="5" s="1"/>
  <c r="E261" i="5"/>
  <c r="F261" i="5" s="1"/>
  <c r="E262" i="5"/>
  <c r="F262" i="5" s="1"/>
  <c r="E263" i="5"/>
  <c r="F263" i="5" s="1"/>
  <c r="E264" i="5"/>
  <c r="F264" i="5" s="1"/>
  <c r="E265" i="5"/>
  <c r="F265" i="5" s="1"/>
  <c r="E266" i="5"/>
  <c r="F266" i="5" s="1"/>
  <c r="E267" i="5"/>
  <c r="F267" i="5" s="1"/>
  <c r="E268" i="5"/>
  <c r="F268" i="5" s="1"/>
  <c r="E269" i="5"/>
  <c r="F269" i="5" s="1"/>
  <c r="E270" i="5"/>
  <c r="F270" i="5" s="1"/>
  <c r="E271" i="5"/>
  <c r="F271" i="5" s="1"/>
  <c r="E272" i="5"/>
  <c r="F272" i="5" s="1"/>
  <c r="E273" i="5"/>
  <c r="F273" i="5" s="1"/>
  <c r="E274" i="5"/>
  <c r="F274" i="5" s="1"/>
  <c r="E275" i="5"/>
  <c r="F275" i="5" s="1"/>
  <c r="E276" i="5"/>
  <c r="F276" i="5" s="1"/>
  <c r="E277" i="5"/>
  <c r="F277" i="5" s="1"/>
  <c r="E278" i="5"/>
  <c r="F278" i="5" s="1"/>
  <c r="E279" i="5"/>
  <c r="F279" i="5" s="1"/>
  <c r="E280" i="5"/>
  <c r="F280" i="5" s="1"/>
  <c r="E281" i="5"/>
  <c r="F281" i="5" s="1"/>
  <c r="E282" i="5"/>
  <c r="F282" i="5" s="1"/>
  <c r="E283" i="5"/>
  <c r="F283" i="5" s="1"/>
  <c r="E284" i="5"/>
  <c r="F284" i="5" s="1"/>
  <c r="E285" i="5"/>
  <c r="F285" i="5" s="1"/>
  <c r="E286" i="5"/>
  <c r="F286" i="5" s="1"/>
  <c r="E287" i="5"/>
  <c r="F287" i="5" s="1"/>
  <c r="E288" i="5"/>
  <c r="F288" i="5" s="1"/>
  <c r="E289" i="5"/>
  <c r="F289" i="5" s="1"/>
  <c r="E290" i="5"/>
  <c r="F290" i="5" s="1"/>
  <c r="E291" i="5"/>
  <c r="F291" i="5" s="1"/>
  <c r="E292" i="5"/>
  <c r="F292" i="5" s="1"/>
  <c r="E293" i="5"/>
  <c r="F293" i="5" s="1"/>
  <c r="E294" i="5"/>
  <c r="F294" i="5" s="1"/>
  <c r="E295" i="5"/>
  <c r="F295" i="5" s="1"/>
  <c r="E296" i="5"/>
  <c r="F296" i="5" s="1"/>
  <c r="E297" i="5"/>
  <c r="F297" i="5" s="1"/>
  <c r="E298" i="5"/>
  <c r="F298" i="5" s="1"/>
  <c r="E299" i="5"/>
  <c r="F299" i="5" s="1"/>
  <c r="E300" i="5"/>
  <c r="F300" i="5" s="1"/>
  <c r="E301" i="5"/>
  <c r="F301" i="5" s="1"/>
  <c r="E302" i="5"/>
  <c r="F302" i="5" s="1"/>
  <c r="E303" i="5"/>
  <c r="F303" i="5" s="1"/>
  <c r="E304" i="5"/>
  <c r="F304" i="5" s="1"/>
  <c r="E305" i="5"/>
  <c r="F305" i="5" s="1"/>
  <c r="E306" i="5"/>
  <c r="F306" i="5" s="1"/>
  <c r="E307" i="5"/>
  <c r="F307" i="5" s="1"/>
  <c r="E308" i="5"/>
  <c r="F308" i="5" s="1"/>
  <c r="E309" i="5"/>
  <c r="F309" i="5" s="1"/>
  <c r="E310" i="5"/>
  <c r="F310" i="5" s="1"/>
  <c r="E311" i="5"/>
  <c r="F311" i="5" s="1"/>
  <c r="E312" i="5"/>
  <c r="F312" i="5" s="1"/>
  <c r="E313" i="5"/>
  <c r="F313" i="5" s="1"/>
  <c r="E314" i="5"/>
  <c r="F314" i="5" s="1"/>
  <c r="E315" i="5"/>
  <c r="F315" i="5" s="1"/>
  <c r="E316" i="5"/>
  <c r="F316" i="5" s="1"/>
  <c r="E317" i="5"/>
  <c r="F317" i="5" s="1"/>
  <c r="E318" i="5"/>
  <c r="F318" i="5" s="1"/>
  <c r="E319" i="5"/>
  <c r="F319" i="5" s="1"/>
  <c r="E320" i="5"/>
  <c r="F320" i="5" s="1"/>
  <c r="E321" i="5"/>
  <c r="F321" i="5" s="1"/>
  <c r="E322" i="5"/>
  <c r="F322" i="5" s="1"/>
  <c r="E323" i="5"/>
  <c r="F323" i="5" s="1"/>
  <c r="E324" i="5"/>
  <c r="F324" i="5" s="1"/>
  <c r="E325" i="5"/>
  <c r="F325" i="5" s="1"/>
  <c r="E326" i="5"/>
  <c r="F326" i="5" s="1"/>
  <c r="E327" i="5"/>
  <c r="F327" i="5" s="1"/>
  <c r="E328" i="5"/>
  <c r="F328" i="5" s="1"/>
  <c r="E329" i="5"/>
  <c r="F329" i="5" s="1"/>
  <c r="E330" i="5"/>
  <c r="F330" i="5" s="1"/>
  <c r="E331" i="5"/>
  <c r="F331" i="5" s="1"/>
  <c r="E332" i="5"/>
  <c r="F332" i="5" s="1"/>
  <c r="E333" i="5"/>
  <c r="F333" i="5" s="1"/>
  <c r="E334" i="5"/>
  <c r="F334" i="5" s="1"/>
  <c r="E335" i="5"/>
  <c r="F335" i="5" s="1"/>
  <c r="E336" i="5"/>
  <c r="F336" i="5" s="1"/>
  <c r="E337" i="5"/>
  <c r="F337" i="5" s="1"/>
  <c r="E338" i="5"/>
  <c r="F338" i="5" s="1"/>
  <c r="E339" i="5"/>
  <c r="F339" i="5" s="1"/>
  <c r="E340" i="5"/>
  <c r="F340" i="5" s="1"/>
  <c r="E341" i="5"/>
  <c r="F341" i="5" s="1"/>
  <c r="E342" i="5"/>
  <c r="F342" i="5" s="1"/>
  <c r="E343" i="5"/>
  <c r="F343" i="5" s="1"/>
  <c r="E344" i="5"/>
  <c r="F344" i="5" s="1"/>
  <c r="E345" i="5"/>
  <c r="F345" i="5" s="1"/>
  <c r="E346" i="5"/>
  <c r="F346" i="5" s="1"/>
  <c r="E347" i="5"/>
  <c r="F347" i="5" s="1"/>
  <c r="E348" i="5"/>
  <c r="F348" i="5" s="1"/>
  <c r="E349" i="5"/>
  <c r="F349" i="5" s="1"/>
  <c r="E350" i="5"/>
  <c r="F350" i="5" s="1"/>
  <c r="E351" i="5"/>
  <c r="F351" i="5" s="1"/>
  <c r="E352" i="5"/>
  <c r="F352" i="5" s="1"/>
  <c r="E353" i="5"/>
  <c r="F353" i="5" s="1"/>
  <c r="E354" i="5"/>
  <c r="F354" i="5" s="1"/>
  <c r="E355" i="5"/>
  <c r="F355" i="5" s="1"/>
  <c r="E356" i="5"/>
  <c r="F356" i="5" s="1"/>
  <c r="E357" i="5"/>
  <c r="F357" i="5" s="1"/>
  <c r="E358" i="5"/>
  <c r="F358" i="5" s="1"/>
  <c r="E359" i="5"/>
  <c r="F359" i="5" s="1"/>
  <c r="E360" i="5"/>
  <c r="F360" i="5" s="1"/>
  <c r="E361" i="5"/>
  <c r="F361" i="5" s="1"/>
  <c r="E362" i="5"/>
  <c r="F362" i="5" s="1"/>
  <c r="E363" i="5"/>
  <c r="F363" i="5" s="1"/>
  <c r="E364" i="5"/>
  <c r="F364" i="5" s="1"/>
  <c r="E365" i="5"/>
  <c r="F365" i="5" s="1"/>
  <c r="E366" i="5"/>
  <c r="F366" i="5" s="1"/>
  <c r="E367" i="5"/>
  <c r="F367" i="5" s="1"/>
  <c r="E368" i="5"/>
  <c r="F368" i="5" s="1"/>
  <c r="E369" i="5"/>
  <c r="F369" i="5" s="1"/>
  <c r="E370" i="5"/>
  <c r="F370" i="5" s="1"/>
  <c r="E371" i="5"/>
  <c r="F371" i="5" s="1"/>
  <c r="E372" i="5"/>
  <c r="F372" i="5" s="1"/>
  <c r="E373" i="5"/>
  <c r="F373" i="5" s="1"/>
  <c r="E374" i="5"/>
  <c r="F374" i="5" s="1"/>
  <c r="E375" i="5"/>
  <c r="F375" i="5" s="1"/>
  <c r="E376" i="5"/>
  <c r="F376" i="5" s="1"/>
  <c r="E377" i="5"/>
  <c r="F377" i="5" s="1"/>
  <c r="E378" i="5"/>
  <c r="F378" i="5" s="1"/>
  <c r="E379" i="5"/>
  <c r="F379" i="5" s="1"/>
  <c r="E380" i="5"/>
  <c r="F380" i="5" s="1"/>
  <c r="E381" i="5"/>
  <c r="F381" i="5" s="1"/>
  <c r="E382" i="5"/>
  <c r="F382" i="5" s="1"/>
  <c r="E383" i="5"/>
  <c r="F383" i="5" s="1"/>
  <c r="E384" i="5"/>
  <c r="F384" i="5" s="1"/>
  <c r="E385" i="5"/>
  <c r="F385" i="5" s="1"/>
  <c r="E386" i="5"/>
  <c r="F386" i="5" s="1"/>
  <c r="E387" i="5"/>
  <c r="F387" i="5" s="1"/>
  <c r="E388" i="5"/>
  <c r="F388" i="5" s="1"/>
  <c r="E389" i="5"/>
  <c r="F389" i="5" s="1"/>
  <c r="E390" i="5"/>
  <c r="F390" i="5" s="1"/>
  <c r="E391" i="5"/>
  <c r="F391" i="5" s="1"/>
  <c r="E392" i="5"/>
  <c r="F392" i="5" s="1"/>
  <c r="E393" i="5"/>
  <c r="F393" i="5" s="1"/>
  <c r="E394" i="5"/>
  <c r="F394" i="5" s="1"/>
  <c r="E395" i="5"/>
  <c r="F395" i="5" s="1"/>
  <c r="E396" i="5"/>
  <c r="F396" i="5" s="1"/>
  <c r="E397" i="5"/>
  <c r="F397" i="5" s="1"/>
  <c r="E398" i="5"/>
  <c r="F398" i="5" s="1"/>
  <c r="E399" i="5"/>
  <c r="F399" i="5" s="1"/>
  <c r="E400" i="5"/>
  <c r="F400" i="5" s="1"/>
  <c r="E401" i="5"/>
  <c r="F401" i="5" s="1"/>
  <c r="E402" i="5"/>
  <c r="F402" i="5" s="1"/>
  <c r="E403" i="5"/>
  <c r="F403" i="5" s="1"/>
  <c r="E404" i="5"/>
  <c r="F404" i="5" s="1"/>
  <c r="E405" i="5"/>
  <c r="F405" i="5" s="1"/>
  <c r="E406" i="5"/>
  <c r="F406" i="5" s="1"/>
  <c r="E407" i="5"/>
  <c r="F407" i="5" s="1"/>
  <c r="E408" i="5"/>
  <c r="F408" i="5" s="1"/>
  <c r="E409" i="5"/>
  <c r="F409" i="5" s="1"/>
  <c r="E410" i="5"/>
  <c r="F410" i="5" s="1"/>
  <c r="E411" i="5"/>
  <c r="F411" i="5" s="1"/>
  <c r="E412" i="5"/>
  <c r="F412" i="5" s="1"/>
  <c r="E413" i="5"/>
  <c r="F413" i="5" s="1"/>
  <c r="E414" i="5"/>
  <c r="F414" i="5" s="1"/>
  <c r="E415" i="5"/>
  <c r="F415" i="5" s="1"/>
  <c r="E416" i="5"/>
  <c r="F416" i="5" s="1"/>
  <c r="E417" i="5"/>
  <c r="F417" i="5" s="1"/>
  <c r="E418" i="5"/>
  <c r="F418" i="5" s="1"/>
  <c r="E419" i="5"/>
  <c r="F419" i="5" s="1"/>
  <c r="E420" i="5"/>
  <c r="F420" i="5" s="1"/>
  <c r="E421" i="5"/>
  <c r="F421" i="5" s="1"/>
  <c r="E422" i="5"/>
  <c r="F422" i="5" s="1"/>
  <c r="E423" i="5"/>
  <c r="F423" i="5" s="1"/>
  <c r="E424" i="5"/>
  <c r="F424" i="5" s="1"/>
  <c r="E425" i="5"/>
  <c r="F425" i="5" s="1"/>
  <c r="E426" i="5"/>
  <c r="F426" i="5" s="1"/>
  <c r="E427" i="5"/>
  <c r="F427" i="5" s="1"/>
  <c r="E428" i="5"/>
  <c r="F428" i="5" s="1"/>
  <c r="E429" i="5"/>
  <c r="F429" i="5" s="1"/>
  <c r="E430" i="5"/>
  <c r="F430" i="5" s="1"/>
  <c r="E431" i="5"/>
  <c r="F431" i="5" s="1"/>
  <c r="E432" i="5"/>
  <c r="F432" i="5" s="1"/>
  <c r="E433" i="5"/>
  <c r="F433" i="5" s="1"/>
  <c r="E434" i="5"/>
  <c r="F434" i="5" s="1"/>
  <c r="E435" i="5"/>
  <c r="F435" i="5" s="1"/>
  <c r="E436" i="5"/>
  <c r="F436" i="5" s="1"/>
  <c r="E437" i="5"/>
  <c r="F437" i="5" s="1"/>
  <c r="E438" i="5"/>
  <c r="F438" i="5" s="1"/>
  <c r="E439" i="5"/>
  <c r="F439" i="5" s="1"/>
  <c r="E440" i="5"/>
  <c r="F440" i="5" s="1"/>
  <c r="E441" i="5"/>
  <c r="F441" i="5" s="1"/>
  <c r="E442" i="5"/>
  <c r="F442" i="5" s="1"/>
  <c r="E443" i="5"/>
  <c r="F443" i="5" s="1"/>
  <c r="E444" i="5"/>
  <c r="F444" i="5" s="1"/>
  <c r="E445" i="5"/>
  <c r="F445" i="5" s="1"/>
  <c r="E446" i="5"/>
  <c r="F446" i="5" s="1"/>
  <c r="E447" i="5"/>
  <c r="F447" i="5" s="1"/>
  <c r="E448" i="5"/>
  <c r="F448" i="5" s="1"/>
  <c r="E449" i="5"/>
  <c r="F449" i="5" s="1"/>
  <c r="E450" i="5"/>
  <c r="F450" i="5" s="1"/>
  <c r="E451" i="5"/>
  <c r="F451" i="5" s="1"/>
  <c r="E452" i="5"/>
  <c r="F452" i="5" s="1"/>
  <c r="E453" i="5"/>
  <c r="F453" i="5" s="1"/>
  <c r="E454" i="5"/>
  <c r="F454" i="5" s="1"/>
  <c r="E455" i="5"/>
  <c r="F455" i="5" s="1"/>
  <c r="E456" i="5"/>
  <c r="F456" i="5" s="1"/>
  <c r="E457" i="5"/>
  <c r="F457" i="5" s="1"/>
  <c r="E458" i="5"/>
  <c r="F458" i="5" s="1"/>
  <c r="E459" i="5"/>
  <c r="F459" i="5" s="1"/>
  <c r="E460" i="5"/>
  <c r="F460" i="5" s="1"/>
  <c r="E461" i="5"/>
  <c r="F461" i="5" s="1"/>
  <c r="E462" i="5"/>
  <c r="F462" i="5" s="1"/>
  <c r="E463" i="5"/>
  <c r="F463" i="5" s="1"/>
  <c r="E464" i="5"/>
  <c r="F464" i="5" s="1"/>
  <c r="E465" i="5"/>
  <c r="F465" i="5" s="1"/>
  <c r="E466" i="5"/>
  <c r="F466" i="5" s="1"/>
  <c r="E467" i="5"/>
  <c r="F467" i="5" s="1"/>
  <c r="E468" i="5"/>
  <c r="F468" i="5" s="1"/>
  <c r="E469" i="5"/>
  <c r="F469" i="5" s="1"/>
  <c r="E470" i="5"/>
  <c r="F470" i="5" s="1"/>
  <c r="E471" i="5"/>
  <c r="F471" i="5" s="1"/>
  <c r="E472" i="5"/>
  <c r="F472" i="5" s="1"/>
  <c r="E473" i="5"/>
  <c r="F473" i="5" s="1"/>
  <c r="E474" i="5"/>
  <c r="F474" i="5" s="1"/>
  <c r="E475" i="5"/>
  <c r="F475" i="5" s="1"/>
  <c r="E476" i="5"/>
  <c r="F476" i="5" s="1"/>
  <c r="E477" i="5"/>
  <c r="F477" i="5" s="1"/>
  <c r="E478" i="5"/>
  <c r="F478" i="5" s="1"/>
  <c r="E479" i="5"/>
  <c r="F479" i="5" s="1"/>
  <c r="E480" i="5"/>
  <c r="F480" i="5" s="1"/>
  <c r="E481" i="5"/>
  <c r="F481" i="5" s="1"/>
  <c r="E482" i="5"/>
  <c r="F482" i="5" s="1"/>
  <c r="E483" i="5"/>
  <c r="F483" i="5" s="1"/>
  <c r="E484" i="5"/>
  <c r="F484" i="5" s="1"/>
  <c r="E485" i="5"/>
  <c r="F485" i="5" s="1"/>
  <c r="E486" i="5"/>
  <c r="F486" i="5" s="1"/>
  <c r="E487" i="5"/>
  <c r="F487" i="5" s="1"/>
  <c r="E488" i="5"/>
  <c r="F488" i="5" s="1"/>
  <c r="E489" i="5"/>
  <c r="F489" i="5" s="1"/>
  <c r="E490" i="5"/>
  <c r="F490" i="5" s="1"/>
  <c r="E491" i="5"/>
  <c r="F491" i="5" s="1"/>
  <c r="E492" i="5"/>
  <c r="F492" i="5" s="1"/>
  <c r="E493" i="5"/>
  <c r="F493" i="5" s="1"/>
  <c r="E494" i="5"/>
  <c r="F494" i="5" s="1"/>
  <c r="E495" i="5"/>
  <c r="F495" i="5" s="1"/>
  <c r="E496" i="5"/>
  <c r="F496" i="5" s="1"/>
  <c r="E497" i="5"/>
  <c r="F497" i="5" s="1"/>
  <c r="E498" i="5"/>
  <c r="F498" i="5" s="1"/>
  <c r="E499" i="5"/>
  <c r="F499" i="5" s="1"/>
  <c r="E500" i="5"/>
  <c r="F500" i="5" s="1"/>
  <c r="E501" i="5"/>
  <c r="F501" i="5" s="1"/>
  <c r="E502" i="5"/>
  <c r="F502" i="5" s="1"/>
  <c r="E503" i="5"/>
  <c r="F503" i="5" s="1"/>
  <c r="E504" i="5"/>
  <c r="F504" i="5" s="1"/>
  <c r="E505" i="5"/>
  <c r="F505" i="5" s="1"/>
  <c r="E506" i="5"/>
  <c r="F506" i="5" s="1"/>
  <c r="E507" i="5"/>
  <c r="F507" i="5" s="1"/>
  <c r="E508" i="5"/>
  <c r="F508" i="5" s="1"/>
  <c r="E509" i="5"/>
  <c r="F509" i="5" s="1"/>
  <c r="E510" i="5"/>
  <c r="F510" i="5" s="1"/>
  <c r="E511" i="5"/>
  <c r="F511" i="5" s="1"/>
  <c r="E512" i="5"/>
  <c r="F512" i="5" s="1"/>
  <c r="E513" i="5"/>
  <c r="F513" i="5" s="1"/>
  <c r="E514" i="5"/>
  <c r="F514" i="5" s="1"/>
  <c r="E515" i="5"/>
  <c r="F515" i="5" s="1"/>
  <c r="E516" i="5"/>
  <c r="F516" i="5" s="1"/>
  <c r="E517" i="5"/>
  <c r="F517" i="5" s="1"/>
  <c r="E518" i="5"/>
  <c r="F518" i="5" s="1"/>
  <c r="E519" i="5"/>
  <c r="F519" i="5" s="1"/>
  <c r="E520" i="5"/>
  <c r="F520" i="5" s="1"/>
  <c r="E521" i="5"/>
  <c r="F521" i="5" s="1"/>
  <c r="E522" i="5"/>
  <c r="F522" i="5" s="1"/>
  <c r="E523" i="5"/>
  <c r="F523" i="5" s="1"/>
  <c r="E524" i="5"/>
  <c r="F524" i="5" s="1"/>
  <c r="E525" i="5"/>
  <c r="F525" i="5" s="1"/>
  <c r="E526" i="5"/>
  <c r="F526" i="5" s="1"/>
  <c r="E527" i="5"/>
  <c r="F527" i="5" s="1"/>
  <c r="E528" i="5"/>
  <c r="F528" i="5" s="1"/>
  <c r="E529" i="5"/>
  <c r="F529" i="5" s="1"/>
  <c r="E530" i="5"/>
  <c r="F530" i="5" s="1"/>
  <c r="E531" i="5"/>
  <c r="F531" i="5" s="1"/>
  <c r="E532" i="5"/>
  <c r="F532" i="5" s="1"/>
  <c r="E533" i="5"/>
  <c r="F533" i="5" s="1"/>
  <c r="E534" i="5"/>
  <c r="F534" i="5" s="1"/>
  <c r="E535" i="5"/>
  <c r="F535" i="5" s="1"/>
  <c r="E536" i="5"/>
  <c r="F536" i="5" s="1"/>
  <c r="E537" i="5"/>
  <c r="F537" i="5" s="1"/>
  <c r="E538" i="5"/>
  <c r="F538" i="5" s="1"/>
  <c r="E539" i="5"/>
  <c r="F539" i="5" s="1"/>
  <c r="E540" i="5"/>
  <c r="F540" i="5" s="1"/>
  <c r="E541" i="5"/>
  <c r="F541" i="5" s="1"/>
  <c r="E542" i="5"/>
  <c r="F542" i="5" s="1"/>
  <c r="E543" i="5"/>
  <c r="F543" i="5" s="1"/>
  <c r="E544" i="5"/>
  <c r="F544" i="5" s="1"/>
  <c r="E545" i="5"/>
  <c r="F545" i="5" s="1"/>
  <c r="E546" i="5"/>
  <c r="F546" i="5" s="1"/>
  <c r="E547" i="5"/>
  <c r="F547" i="5" s="1"/>
  <c r="E548" i="5"/>
  <c r="F548" i="5" s="1"/>
  <c r="E549" i="5"/>
  <c r="F549" i="5" s="1"/>
  <c r="E550" i="5"/>
  <c r="F550" i="5" s="1"/>
  <c r="E551" i="5"/>
  <c r="F551" i="5" s="1"/>
  <c r="E552" i="5"/>
  <c r="F552" i="5" s="1"/>
  <c r="E553" i="5"/>
  <c r="F553" i="5" s="1"/>
  <c r="E554" i="5"/>
  <c r="F554" i="5" s="1"/>
  <c r="E555" i="5"/>
  <c r="F555" i="5" s="1"/>
  <c r="E556" i="5"/>
  <c r="F556" i="5" s="1"/>
  <c r="E558" i="5"/>
  <c r="F558" i="5" s="1"/>
  <c r="E559" i="5"/>
  <c r="F559" i="5" s="1"/>
  <c r="E560" i="5"/>
  <c r="F560" i="5" s="1"/>
  <c r="E561" i="5"/>
  <c r="F561" i="5" s="1"/>
  <c r="E562" i="5"/>
  <c r="F562" i="5" s="1"/>
  <c r="E563" i="5"/>
  <c r="F563" i="5" s="1"/>
  <c r="E564" i="5"/>
  <c r="F564" i="5" s="1"/>
  <c r="E565" i="5"/>
  <c r="F565" i="5" s="1"/>
  <c r="E566" i="5"/>
  <c r="F566" i="5" s="1"/>
  <c r="E567" i="5"/>
  <c r="F567" i="5" s="1"/>
  <c r="E568" i="5"/>
  <c r="F568" i="5" s="1"/>
  <c r="E569" i="5"/>
  <c r="F569" i="5" s="1"/>
  <c r="E570" i="5"/>
  <c r="F570" i="5" s="1"/>
  <c r="E571" i="5"/>
  <c r="F571" i="5" s="1"/>
  <c r="E572" i="5"/>
  <c r="F572" i="5" s="1"/>
  <c r="E573" i="5"/>
  <c r="F573" i="5" s="1"/>
  <c r="E574" i="5"/>
  <c r="F574" i="5" s="1"/>
  <c r="E575" i="5"/>
  <c r="F575" i="5" s="1"/>
  <c r="E576" i="5"/>
  <c r="F576" i="5" s="1"/>
  <c r="E577" i="5"/>
  <c r="F577" i="5" s="1"/>
  <c r="E578" i="5"/>
  <c r="F578" i="5" s="1"/>
  <c r="E579" i="5"/>
  <c r="F579" i="5" s="1"/>
  <c r="E580" i="5"/>
  <c r="F580" i="5" s="1"/>
  <c r="E581" i="5"/>
  <c r="F581" i="5" s="1"/>
  <c r="E583" i="5"/>
  <c r="F583" i="5" s="1"/>
  <c r="E584" i="5"/>
  <c r="F584" i="5" s="1"/>
  <c r="E585" i="5"/>
  <c r="F585" i="5" s="1"/>
  <c r="E586" i="5"/>
  <c r="F586" i="5" s="1"/>
  <c r="E587" i="5"/>
  <c r="F587" i="5" s="1"/>
  <c r="E588" i="5"/>
  <c r="F588" i="5" s="1"/>
  <c r="E589" i="5"/>
  <c r="F589" i="5" s="1"/>
  <c r="E590" i="5"/>
  <c r="F590" i="5" s="1"/>
  <c r="E591" i="5"/>
  <c r="F591" i="5" s="1"/>
  <c r="E592" i="5"/>
  <c r="F592" i="5" s="1"/>
  <c r="E593" i="5"/>
  <c r="F593" i="5" s="1"/>
  <c r="E594" i="5"/>
  <c r="F594" i="5" s="1"/>
  <c r="E595" i="5"/>
  <c r="F595" i="5" s="1"/>
  <c r="E596" i="5"/>
  <c r="F596" i="5" s="1"/>
  <c r="E597" i="5"/>
  <c r="F597" i="5" s="1"/>
  <c r="E598" i="5"/>
  <c r="F598" i="5" s="1"/>
  <c r="E599" i="5"/>
  <c r="F599" i="5" s="1"/>
  <c r="E600" i="5"/>
  <c r="F600" i="5" s="1"/>
  <c r="E601" i="5"/>
  <c r="F601" i="5" s="1"/>
  <c r="E602" i="5"/>
  <c r="F602" i="5" s="1"/>
  <c r="E603" i="5"/>
  <c r="F603" i="5" s="1"/>
  <c r="E604" i="5"/>
  <c r="F604" i="5" s="1"/>
  <c r="B2" i="5"/>
  <c r="C2" i="5" s="1"/>
  <c r="B3" i="5"/>
  <c r="C3" i="5" s="1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B77" i="5"/>
  <c r="C77" i="5" s="1"/>
  <c r="B78" i="5"/>
  <c r="C78" i="5" s="1"/>
  <c r="B79" i="5"/>
  <c r="C79" i="5" s="1"/>
  <c r="B80" i="5"/>
  <c r="C80" i="5" s="1"/>
  <c r="B81" i="5"/>
  <c r="C81" i="5" s="1"/>
  <c r="B82" i="5"/>
  <c r="C82" i="5" s="1"/>
  <c r="B83" i="5"/>
  <c r="C83" i="5" s="1"/>
  <c r="B84" i="5"/>
  <c r="C84" i="5" s="1"/>
  <c r="B85" i="5"/>
  <c r="C85" i="5" s="1"/>
  <c r="B86" i="5"/>
  <c r="C86" i="5" s="1"/>
  <c r="B87" i="5"/>
  <c r="C87" i="5" s="1"/>
  <c r="B88" i="5"/>
  <c r="C88" i="5" s="1"/>
  <c r="B89" i="5"/>
  <c r="C89" i="5" s="1"/>
  <c r="B90" i="5"/>
  <c r="C90" i="5" s="1"/>
  <c r="B91" i="5"/>
  <c r="C91" i="5" s="1"/>
  <c r="B92" i="5"/>
  <c r="C92" i="5" s="1"/>
  <c r="B93" i="5"/>
  <c r="C93" i="5" s="1"/>
  <c r="B94" i="5"/>
  <c r="C94" i="5" s="1"/>
  <c r="B95" i="5"/>
  <c r="C95" i="5" s="1"/>
  <c r="B96" i="5"/>
  <c r="C96" i="5" s="1"/>
  <c r="B97" i="5"/>
  <c r="C97" i="5" s="1"/>
  <c r="B98" i="5"/>
  <c r="C98" i="5" s="1"/>
  <c r="B99" i="5"/>
  <c r="C99" i="5" s="1"/>
  <c r="B100" i="5"/>
  <c r="C100" i="5" s="1"/>
  <c r="B101" i="5"/>
  <c r="C101" i="5" s="1"/>
  <c r="B102" i="5"/>
  <c r="C102" i="5" s="1"/>
  <c r="B103" i="5"/>
  <c r="C103" i="5" s="1"/>
  <c r="B104" i="5"/>
  <c r="C104" i="5" s="1"/>
  <c r="B105" i="5"/>
  <c r="C105" i="5" s="1"/>
  <c r="B106" i="5"/>
  <c r="C106" i="5" s="1"/>
  <c r="B107" i="5"/>
  <c r="C107" i="5" s="1"/>
  <c r="B108" i="5"/>
  <c r="C108" i="5" s="1"/>
  <c r="B109" i="5"/>
  <c r="C109" i="5" s="1"/>
  <c r="B110" i="5"/>
  <c r="C110" i="5" s="1"/>
  <c r="B111" i="5"/>
  <c r="C111" i="5" s="1"/>
  <c r="B112" i="5"/>
  <c r="C112" i="5" s="1"/>
  <c r="B113" i="5"/>
  <c r="C113" i="5" s="1"/>
  <c r="B114" i="5"/>
  <c r="C114" i="5" s="1"/>
  <c r="B115" i="5"/>
  <c r="C115" i="5" s="1"/>
  <c r="B116" i="5"/>
  <c r="C116" i="5" s="1"/>
  <c r="B117" i="5"/>
  <c r="C117" i="5" s="1"/>
  <c r="B118" i="5"/>
  <c r="C118" i="5" s="1"/>
  <c r="B119" i="5"/>
  <c r="C119" i="5" s="1"/>
  <c r="B120" i="5"/>
  <c r="C120" i="5" s="1"/>
  <c r="B121" i="5"/>
  <c r="C121" i="5" s="1"/>
  <c r="B122" i="5"/>
  <c r="C122" i="5" s="1"/>
  <c r="B123" i="5"/>
  <c r="C123" i="5" s="1"/>
  <c r="B124" i="5"/>
  <c r="C124" i="5" s="1"/>
  <c r="B125" i="5"/>
  <c r="C125" i="5" s="1"/>
  <c r="B126" i="5"/>
  <c r="C126" i="5" s="1"/>
  <c r="B127" i="5"/>
  <c r="C127" i="5" s="1"/>
  <c r="B128" i="5"/>
  <c r="C128" i="5" s="1"/>
  <c r="B129" i="5"/>
  <c r="C129" i="5" s="1"/>
  <c r="B130" i="5"/>
  <c r="C130" i="5" s="1"/>
  <c r="B131" i="5"/>
  <c r="C131" i="5" s="1"/>
  <c r="B132" i="5"/>
  <c r="C132" i="5" s="1"/>
  <c r="B133" i="5"/>
  <c r="C133" i="5" s="1"/>
  <c r="B134" i="5"/>
  <c r="C134" i="5" s="1"/>
  <c r="B135" i="5"/>
  <c r="C135" i="5" s="1"/>
  <c r="B136" i="5"/>
  <c r="C136" i="5" s="1"/>
  <c r="B137" i="5"/>
  <c r="C137" i="5" s="1"/>
  <c r="B138" i="5"/>
  <c r="C138" i="5" s="1"/>
  <c r="B139" i="5"/>
  <c r="C139" i="5" s="1"/>
  <c r="B140" i="5"/>
  <c r="C140" i="5" s="1"/>
  <c r="B141" i="5"/>
  <c r="C141" i="5" s="1"/>
  <c r="B142" i="5"/>
  <c r="C142" i="5" s="1"/>
  <c r="B143" i="5"/>
  <c r="C143" i="5" s="1"/>
  <c r="B144" i="5"/>
  <c r="C144" i="5" s="1"/>
  <c r="B145" i="5"/>
  <c r="C145" i="5" s="1"/>
  <c r="B146" i="5"/>
  <c r="C146" i="5" s="1"/>
  <c r="B147" i="5"/>
  <c r="C147" i="5" s="1"/>
  <c r="B148" i="5"/>
  <c r="C148" i="5" s="1"/>
  <c r="B149" i="5"/>
  <c r="C149" i="5" s="1"/>
  <c r="B150" i="5"/>
  <c r="C150" i="5" s="1"/>
  <c r="B151" i="5"/>
  <c r="C151" i="5" s="1"/>
  <c r="B152" i="5"/>
  <c r="C152" i="5" s="1"/>
  <c r="B153" i="5"/>
  <c r="C153" i="5" s="1"/>
  <c r="B154" i="5"/>
  <c r="C154" i="5" s="1"/>
  <c r="B155" i="5"/>
  <c r="C155" i="5" s="1"/>
  <c r="B156" i="5"/>
  <c r="C156" i="5" s="1"/>
  <c r="B157" i="5"/>
  <c r="C157" i="5" s="1"/>
  <c r="B158" i="5"/>
  <c r="C158" i="5" s="1"/>
  <c r="B159" i="5"/>
  <c r="C159" i="5" s="1"/>
  <c r="B160" i="5"/>
  <c r="C160" i="5" s="1"/>
  <c r="B161" i="5"/>
  <c r="C161" i="5" s="1"/>
  <c r="B162" i="5"/>
  <c r="C162" i="5" s="1"/>
  <c r="B163" i="5"/>
  <c r="C163" i="5" s="1"/>
  <c r="B164" i="5"/>
  <c r="C164" i="5" s="1"/>
  <c r="B165" i="5"/>
  <c r="C165" i="5" s="1"/>
  <c r="B166" i="5"/>
  <c r="C166" i="5" s="1"/>
  <c r="B167" i="5"/>
  <c r="C167" i="5" s="1"/>
  <c r="B168" i="5"/>
  <c r="C168" i="5" s="1"/>
  <c r="B169" i="5"/>
  <c r="C169" i="5" s="1"/>
  <c r="B170" i="5"/>
  <c r="C170" i="5" s="1"/>
  <c r="B171" i="5"/>
  <c r="C171" i="5" s="1"/>
  <c r="B172" i="5"/>
  <c r="C172" i="5" s="1"/>
  <c r="B173" i="5"/>
  <c r="C173" i="5" s="1"/>
  <c r="B174" i="5"/>
  <c r="C174" i="5" s="1"/>
  <c r="B175" i="5"/>
  <c r="C175" i="5" s="1"/>
  <c r="B176" i="5"/>
  <c r="C176" i="5" s="1"/>
  <c r="B177" i="5"/>
  <c r="C177" i="5" s="1"/>
  <c r="B178" i="5"/>
  <c r="C178" i="5" s="1"/>
  <c r="B179" i="5"/>
  <c r="C179" i="5" s="1"/>
  <c r="B180" i="5"/>
  <c r="C180" i="5" s="1"/>
  <c r="B181" i="5"/>
  <c r="C181" i="5" s="1"/>
  <c r="B182" i="5"/>
  <c r="C182" i="5" s="1"/>
  <c r="B183" i="5"/>
  <c r="C183" i="5" s="1"/>
  <c r="B184" i="5"/>
  <c r="C184" i="5" s="1"/>
  <c r="B185" i="5"/>
  <c r="C185" i="5" s="1"/>
  <c r="B186" i="5"/>
  <c r="C186" i="5" s="1"/>
  <c r="B187" i="5"/>
  <c r="C187" i="5" s="1"/>
  <c r="B188" i="5"/>
  <c r="C188" i="5" s="1"/>
  <c r="B189" i="5"/>
  <c r="C189" i="5" s="1"/>
  <c r="B190" i="5"/>
  <c r="C190" i="5" s="1"/>
  <c r="B191" i="5"/>
  <c r="C191" i="5" s="1"/>
  <c r="B192" i="5"/>
  <c r="C192" i="5" s="1"/>
  <c r="B193" i="5"/>
  <c r="C193" i="5" s="1"/>
  <c r="B194" i="5"/>
  <c r="C194" i="5" s="1"/>
  <c r="B195" i="5"/>
  <c r="C195" i="5" s="1"/>
  <c r="B196" i="5"/>
  <c r="C196" i="5" s="1"/>
  <c r="B197" i="5"/>
  <c r="C197" i="5" s="1"/>
  <c r="B198" i="5"/>
  <c r="C198" i="5" s="1"/>
  <c r="B199" i="5"/>
  <c r="C199" i="5" s="1"/>
  <c r="B200" i="5"/>
  <c r="C200" i="5" s="1"/>
  <c r="B201" i="5"/>
  <c r="C201" i="5" s="1"/>
  <c r="B202" i="5"/>
  <c r="C202" i="5" s="1"/>
  <c r="B203" i="5"/>
  <c r="C203" i="5" s="1"/>
  <c r="B204" i="5"/>
  <c r="C204" i="5" s="1"/>
  <c r="B205" i="5"/>
  <c r="C205" i="5" s="1"/>
  <c r="B206" i="5"/>
  <c r="C206" i="5" s="1"/>
  <c r="B207" i="5"/>
  <c r="C207" i="5" s="1"/>
  <c r="B208" i="5"/>
  <c r="C208" i="5" s="1"/>
  <c r="B209" i="5"/>
  <c r="C209" i="5" s="1"/>
  <c r="B210" i="5"/>
  <c r="C210" i="5" s="1"/>
  <c r="B211" i="5"/>
  <c r="C211" i="5" s="1"/>
  <c r="B212" i="5"/>
  <c r="C212" i="5" s="1"/>
  <c r="B213" i="5"/>
  <c r="C213" i="5" s="1"/>
  <c r="B214" i="5"/>
  <c r="C214" i="5" s="1"/>
  <c r="B215" i="5"/>
  <c r="C215" i="5" s="1"/>
  <c r="B216" i="5"/>
  <c r="C216" i="5" s="1"/>
  <c r="B217" i="5"/>
  <c r="C217" i="5" s="1"/>
  <c r="B218" i="5"/>
  <c r="C218" i="5" s="1"/>
  <c r="B219" i="5"/>
  <c r="C219" i="5" s="1"/>
  <c r="B220" i="5"/>
  <c r="C220" i="5" s="1"/>
  <c r="B221" i="5"/>
  <c r="C221" i="5" s="1"/>
  <c r="B222" i="5"/>
  <c r="C222" i="5" s="1"/>
  <c r="B223" i="5"/>
  <c r="C223" i="5" s="1"/>
  <c r="B224" i="5"/>
  <c r="C224" i="5" s="1"/>
  <c r="B225" i="5"/>
  <c r="C225" i="5" s="1"/>
  <c r="B226" i="5"/>
  <c r="C226" i="5" s="1"/>
  <c r="B227" i="5"/>
  <c r="C227" i="5" s="1"/>
  <c r="B228" i="5"/>
  <c r="C228" i="5" s="1"/>
  <c r="B229" i="5"/>
  <c r="C229" i="5" s="1"/>
  <c r="B230" i="5"/>
  <c r="C230" i="5" s="1"/>
  <c r="B231" i="5"/>
  <c r="C231" i="5" s="1"/>
  <c r="B232" i="5"/>
  <c r="C232" i="5" s="1"/>
  <c r="B233" i="5"/>
  <c r="C233" i="5" s="1"/>
  <c r="B234" i="5"/>
  <c r="C234" i="5" s="1"/>
  <c r="B235" i="5"/>
  <c r="C235" i="5" s="1"/>
  <c r="B236" i="5"/>
  <c r="C236" i="5" s="1"/>
  <c r="B237" i="5"/>
  <c r="C237" i="5" s="1"/>
  <c r="B238" i="5"/>
  <c r="C238" i="5" s="1"/>
  <c r="B239" i="5"/>
  <c r="C239" i="5" s="1"/>
  <c r="B240" i="5"/>
  <c r="C240" i="5" s="1"/>
  <c r="B241" i="5"/>
  <c r="C241" i="5" s="1"/>
  <c r="B242" i="5"/>
  <c r="C242" i="5" s="1"/>
  <c r="B243" i="5"/>
  <c r="C243" i="5" s="1"/>
  <c r="B244" i="5"/>
  <c r="C244" i="5" s="1"/>
  <c r="B245" i="5"/>
  <c r="C245" i="5" s="1"/>
  <c r="B246" i="5"/>
  <c r="C246" i="5" s="1"/>
  <c r="B247" i="5"/>
  <c r="C247" i="5" s="1"/>
  <c r="B248" i="5"/>
  <c r="C248" i="5" s="1"/>
  <c r="B249" i="5"/>
  <c r="C249" i="5" s="1"/>
  <c r="B250" i="5"/>
  <c r="C250" i="5" s="1"/>
  <c r="B251" i="5"/>
  <c r="C251" i="5" s="1"/>
  <c r="B252" i="5"/>
  <c r="C252" i="5" s="1"/>
  <c r="B253" i="5"/>
  <c r="C253" i="5" s="1"/>
  <c r="B254" i="5"/>
  <c r="C254" i="5" s="1"/>
  <c r="B255" i="5"/>
  <c r="C255" i="5" s="1"/>
  <c r="B256" i="5"/>
  <c r="C256" i="5" s="1"/>
  <c r="B257" i="5"/>
  <c r="C257" i="5" s="1"/>
  <c r="B258" i="5"/>
  <c r="C258" i="5" s="1"/>
  <c r="B259" i="5"/>
  <c r="C259" i="5" s="1"/>
  <c r="B260" i="5"/>
  <c r="C260" i="5" s="1"/>
  <c r="B261" i="5"/>
  <c r="C261" i="5" s="1"/>
  <c r="B262" i="5"/>
  <c r="C262" i="5" s="1"/>
  <c r="B263" i="5"/>
  <c r="C263" i="5" s="1"/>
  <c r="B264" i="5"/>
  <c r="C264" i="5" s="1"/>
  <c r="B265" i="5"/>
  <c r="C265" i="5" s="1"/>
  <c r="B266" i="5"/>
  <c r="C266" i="5" s="1"/>
  <c r="B267" i="5"/>
  <c r="C267" i="5" s="1"/>
  <c r="B268" i="5"/>
  <c r="C268" i="5" s="1"/>
  <c r="B269" i="5"/>
  <c r="C269" i="5" s="1"/>
  <c r="B270" i="5"/>
  <c r="C270" i="5" s="1"/>
  <c r="B271" i="5"/>
  <c r="C271" i="5" s="1"/>
  <c r="B272" i="5"/>
  <c r="C272" i="5" s="1"/>
  <c r="B273" i="5"/>
  <c r="C273" i="5" s="1"/>
  <c r="B274" i="5"/>
  <c r="C274" i="5" s="1"/>
  <c r="B275" i="5"/>
  <c r="C275" i="5" s="1"/>
  <c r="B276" i="5"/>
  <c r="C276" i="5" s="1"/>
  <c r="B277" i="5"/>
  <c r="C277" i="5" s="1"/>
  <c r="B278" i="5"/>
  <c r="C278" i="5" s="1"/>
  <c r="B279" i="5"/>
  <c r="C279" i="5" s="1"/>
  <c r="B280" i="5"/>
  <c r="C280" i="5" s="1"/>
  <c r="B281" i="5"/>
  <c r="C281" i="5" s="1"/>
  <c r="B282" i="5"/>
  <c r="C282" i="5" s="1"/>
  <c r="B283" i="5"/>
  <c r="C283" i="5" s="1"/>
  <c r="B284" i="5"/>
  <c r="C284" i="5" s="1"/>
  <c r="B285" i="5"/>
  <c r="C285" i="5" s="1"/>
  <c r="B286" i="5"/>
  <c r="C286" i="5" s="1"/>
  <c r="B287" i="5"/>
  <c r="C287" i="5" s="1"/>
  <c r="B288" i="5"/>
  <c r="C288" i="5" s="1"/>
  <c r="B289" i="5"/>
  <c r="C289" i="5" s="1"/>
  <c r="B290" i="5"/>
  <c r="C290" i="5" s="1"/>
  <c r="B291" i="5"/>
  <c r="C291" i="5" s="1"/>
  <c r="B292" i="5"/>
  <c r="C292" i="5" s="1"/>
  <c r="B293" i="5"/>
  <c r="C293" i="5" s="1"/>
  <c r="B294" i="5"/>
  <c r="C294" i="5" s="1"/>
  <c r="B295" i="5"/>
  <c r="C295" i="5" s="1"/>
  <c r="B296" i="5"/>
  <c r="C296" i="5" s="1"/>
  <c r="B297" i="5"/>
  <c r="C297" i="5" s="1"/>
  <c r="B298" i="5"/>
  <c r="C298" i="5" s="1"/>
  <c r="B299" i="5"/>
  <c r="C299" i="5" s="1"/>
  <c r="B300" i="5"/>
  <c r="C300" i="5" s="1"/>
  <c r="B301" i="5"/>
  <c r="C301" i="5" s="1"/>
  <c r="B302" i="5"/>
  <c r="C302" i="5" s="1"/>
  <c r="B303" i="5"/>
  <c r="C303" i="5" s="1"/>
  <c r="B304" i="5"/>
  <c r="C304" i="5" s="1"/>
  <c r="B305" i="5"/>
  <c r="C305" i="5" s="1"/>
  <c r="B306" i="5"/>
  <c r="C306" i="5" s="1"/>
  <c r="B307" i="5"/>
  <c r="C307" i="5" s="1"/>
  <c r="B308" i="5"/>
  <c r="C308" i="5" s="1"/>
  <c r="B309" i="5"/>
  <c r="C309" i="5" s="1"/>
  <c r="B310" i="5"/>
  <c r="C310" i="5" s="1"/>
  <c r="B311" i="5"/>
  <c r="C311" i="5" s="1"/>
  <c r="B312" i="5"/>
  <c r="C312" i="5" s="1"/>
  <c r="B313" i="5"/>
  <c r="C313" i="5" s="1"/>
  <c r="B314" i="5"/>
  <c r="C314" i="5" s="1"/>
  <c r="B315" i="5"/>
  <c r="C315" i="5" s="1"/>
  <c r="B316" i="5"/>
  <c r="C316" i="5" s="1"/>
  <c r="B317" i="5"/>
  <c r="C317" i="5" s="1"/>
  <c r="B318" i="5"/>
  <c r="C318" i="5" s="1"/>
  <c r="B319" i="5"/>
  <c r="C319" i="5" s="1"/>
  <c r="B320" i="5"/>
  <c r="C320" i="5" s="1"/>
  <c r="B321" i="5"/>
  <c r="C321" i="5" s="1"/>
  <c r="B322" i="5"/>
  <c r="C322" i="5" s="1"/>
  <c r="B323" i="5"/>
  <c r="C323" i="5" s="1"/>
  <c r="B324" i="5"/>
  <c r="C324" i="5" s="1"/>
  <c r="B325" i="5"/>
  <c r="C325" i="5" s="1"/>
  <c r="B326" i="5"/>
  <c r="C326" i="5" s="1"/>
  <c r="B327" i="5"/>
  <c r="C327" i="5" s="1"/>
  <c r="B328" i="5"/>
  <c r="C328" i="5" s="1"/>
  <c r="B329" i="5"/>
  <c r="C329" i="5" s="1"/>
  <c r="B330" i="5"/>
  <c r="C330" i="5" s="1"/>
  <c r="B331" i="5"/>
  <c r="C331" i="5" s="1"/>
  <c r="B332" i="5"/>
  <c r="C332" i="5" s="1"/>
  <c r="B333" i="5"/>
  <c r="C333" i="5" s="1"/>
  <c r="B334" i="5"/>
  <c r="C334" i="5" s="1"/>
  <c r="B335" i="5"/>
  <c r="C335" i="5" s="1"/>
  <c r="B336" i="5"/>
  <c r="C336" i="5" s="1"/>
  <c r="B337" i="5"/>
  <c r="C337" i="5" s="1"/>
  <c r="B338" i="5"/>
  <c r="C338" i="5" s="1"/>
  <c r="B339" i="5"/>
  <c r="C339" i="5" s="1"/>
  <c r="B340" i="5"/>
  <c r="C340" i="5" s="1"/>
  <c r="B341" i="5"/>
  <c r="C341" i="5" s="1"/>
  <c r="B342" i="5"/>
  <c r="C342" i="5" s="1"/>
  <c r="B343" i="5"/>
  <c r="C343" i="5" s="1"/>
  <c r="B344" i="5"/>
  <c r="C344" i="5" s="1"/>
  <c r="B345" i="5"/>
  <c r="C345" i="5" s="1"/>
  <c r="B346" i="5"/>
  <c r="C346" i="5" s="1"/>
  <c r="B347" i="5"/>
  <c r="C347" i="5" s="1"/>
  <c r="B348" i="5"/>
  <c r="C348" i="5" s="1"/>
  <c r="B349" i="5"/>
  <c r="C349" i="5" s="1"/>
  <c r="B350" i="5"/>
  <c r="C350" i="5" s="1"/>
  <c r="B351" i="5"/>
  <c r="C351" i="5" s="1"/>
  <c r="B352" i="5"/>
  <c r="C352" i="5" s="1"/>
  <c r="B353" i="5"/>
  <c r="C353" i="5" s="1"/>
  <c r="B354" i="5"/>
  <c r="C354" i="5" s="1"/>
  <c r="B355" i="5"/>
  <c r="C355" i="5" s="1"/>
  <c r="B356" i="5"/>
  <c r="C356" i="5" s="1"/>
  <c r="B357" i="5"/>
  <c r="C357" i="5" s="1"/>
  <c r="B358" i="5"/>
  <c r="C358" i="5" s="1"/>
  <c r="B359" i="5"/>
  <c r="C359" i="5" s="1"/>
  <c r="B360" i="5"/>
  <c r="C360" i="5" s="1"/>
  <c r="B361" i="5"/>
  <c r="C361" i="5" s="1"/>
  <c r="B362" i="5"/>
  <c r="C362" i="5" s="1"/>
  <c r="B363" i="5"/>
  <c r="C363" i="5" s="1"/>
  <c r="B364" i="5"/>
  <c r="C364" i="5" s="1"/>
  <c r="B365" i="5"/>
  <c r="C365" i="5" s="1"/>
  <c r="B366" i="5"/>
  <c r="C366" i="5" s="1"/>
  <c r="B367" i="5"/>
  <c r="C367" i="5" s="1"/>
  <c r="B368" i="5"/>
  <c r="C368" i="5" s="1"/>
  <c r="B369" i="5"/>
  <c r="C369" i="5" s="1"/>
  <c r="B370" i="5"/>
  <c r="C370" i="5" s="1"/>
  <c r="B371" i="5"/>
  <c r="C371" i="5" s="1"/>
  <c r="B372" i="5"/>
  <c r="C372" i="5" s="1"/>
  <c r="B373" i="5"/>
  <c r="C373" i="5" s="1"/>
  <c r="B374" i="5"/>
  <c r="C374" i="5" s="1"/>
  <c r="B375" i="5"/>
  <c r="C375" i="5" s="1"/>
  <c r="B376" i="5"/>
  <c r="C376" i="5" s="1"/>
  <c r="B377" i="5"/>
  <c r="C377" i="5" s="1"/>
  <c r="B378" i="5"/>
  <c r="C378" i="5" s="1"/>
  <c r="B379" i="5"/>
  <c r="C379" i="5" s="1"/>
  <c r="B380" i="5"/>
  <c r="C380" i="5" s="1"/>
  <c r="B381" i="5"/>
  <c r="C381" i="5" s="1"/>
  <c r="B382" i="5"/>
  <c r="C382" i="5" s="1"/>
  <c r="B383" i="5"/>
  <c r="C383" i="5" s="1"/>
  <c r="B384" i="5"/>
  <c r="C384" i="5" s="1"/>
  <c r="B385" i="5"/>
  <c r="C385" i="5" s="1"/>
  <c r="B386" i="5"/>
  <c r="C386" i="5" s="1"/>
  <c r="B387" i="5"/>
  <c r="C387" i="5" s="1"/>
  <c r="B388" i="5"/>
  <c r="C388" i="5" s="1"/>
  <c r="B389" i="5"/>
  <c r="C389" i="5" s="1"/>
  <c r="B390" i="5"/>
  <c r="C390" i="5" s="1"/>
  <c r="B391" i="5"/>
  <c r="C391" i="5" s="1"/>
  <c r="B392" i="5"/>
  <c r="C392" i="5" s="1"/>
  <c r="B393" i="5"/>
  <c r="C393" i="5" s="1"/>
  <c r="B394" i="5"/>
  <c r="C394" i="5" s="1"/>
  <c r="B395" i="5"/>
  <c r="C395" i="5" s="1"/>
  <c r="B396" i="5"/>
  <c r="C396" i="5" s="1"/>
  <c r="B397" i="5"/>
  <c r="C397" i="5" s="1"/>
  <c r="B398" i="5"/>
  <c r="C398" i="5" s="1"/>
  <c r="B399" i="5"/>
  <c r="C399" i="5" s="1"/>
  <c r="B400" i="5"/>
  <c r="C400" i="5" s="1"/>
  <c r="B401" i="5"/>
  <c r="C401" i="5" s="1"/>
  <c r="B402" i="5"/>
  <c r="C402" i="5" s="1"/>
  <c r="B403" i="5"/>
  <c r="C403" i="5" s="1"/>
  <c r="B404" i="5"/>
  <c r="C404" i="5" s="1"/>
  <c r="B405" i="5"/>
  <c r="C405" i="5" s="1"/>
  <c r="B406" i="5"/>
  <c r="C406" i="5" s="1"/>
  <c r="B407" i="5"/>
  <c r="C407" i="5" s="1"/>
  <c r="B408" i="5"/>
  <c r="C408" i="5" s="1"/>
  <c r="B409" i="5"/>
  <c r="C409" i="5" s="1"/>
  <c r="B410" i="5"/>
  <c r="C410" i="5" s="1"/>
  <c r="B411" i="5"/>
  <c r="C411" i="5" s="1"/>
  <c r="B412" i="5"/>
  <c r="C412" i="5" s="1"/>
  <c r="B413" i="5"/>
  <c r="C413" i="5" s="1"/>
  <c r="B414" i="5"/>
  <c r="C414" i="5" s="1"/>
  <c r="B415" i="5"/>
  <c r="C415" i="5" s="1"/>
  <c r="B416" i="5"/>
  <c r="C416" i="5" s="1"/>
  <c r="B417" i="5"/>
  <c r="C417" i="5" s="1"/>
  <c r="B418" i="5"/>
  <c r="C418" i="5" s="1"/>
  <c r="B419" i="5"/>
  <c r="C419" i="5" s="1"/>
  <c r="B420" i="5"/>
  <c r="C420" i="5" s="1"/>
  <c r="B421" i="5"/>
  <c r="C421" i="5" s="1"/>
  <c r="B422" i="5"/>
  <c r="C422" i="5" s="1"/>
  <c r="B423" i="5"/>
  <c r="C423" i="5" s="1"/>
  <c r="B424" i="5"/>
  <c r="C424" i="5" s="1"/>
  <c r="B425" i="5"/>
  <c r="C425" i="5" s="1"/>
  <c r="B426" i="5"/>
  <c r="C426" i="5" s="1"/>
  <c r="B427" i="5"/>
  <c r="C427" i="5" s="1"/>
  <c r="B428" i="5"/>
  <c r="C428" i="5" s="1"/>
  <c r="B429" i="5"/>
  <c r="C429" i="5" s="1"/>
  <c r="B430" i="5"/>
  <c r="C430" i="5" s="1"/>
  <c r="B431" i="5"/>
  <c r="C431" i="5" s="1"/>
  <c r="B432" i="5"/>
  <c r="C432" i="5" s="1"/>
  <c r="B433" i="5"/>
  <c r="C433" i="5" s="1"/>
  <c r="B434" i="5"/>
  <c r="C434" i="5" s="1"/>
  <c r="B435" i="5"/>
  <c r="C435" i="5" s="1"/>
  <c r="B436" i="5"/>
  <c r="C436" i="5" s="1"/>
  <c r="B437" i="5"/>
  <c r="C437" i="5" s="1"/>
  <c r="B438" i="5"/>
  <c r="C438" i="5" s="1"/>
  <c r="B439" i="5"/>
  <c r="C439" i="5" s="1"/>
  <c r="B440" i="5"/>
  <c r="C440" i="5" s="1"/>
  <c r="B441" i="5"/>
  <c r="C441" i="5" s="1"/>
  <c r="B442" i="5"/>
  <c r="C442" i="5" s="1"/>
  <c r="B443" i="5"/>
  <c r="C443" i="5" s="1"/>
  <c r="B444" i="5"/>
  <c r="C444" i="5" s="1"/>
  <c r="B445" i="5"/>
  <c r="C445" i="5" s="1"/>
  <c r="B446" i="5"/>
  <c r="C446" i="5" s="1"/>
  <c r="B447" i="5"/>
  <c r="C447" i="5" s="1"/>
  <c r="B448" i="5"/>
  <c r="C448" i="5" s="1"/>
  <c r="B449" i="5"/>
  <c r="C449" i="5" s="1"/>
  <c r="B450" i="5"/>
  <c r="C450" i="5" s="1"/>
  <c r="B451" i="5"/>
  <c r="C451" i="5" s="1"/>
  <c r="B452" i="5"/>
  <c r="C452" i="5" s="1"/>
  <c r="B453" i="5"/>
  <c r="C453" i="5" s="1"/>
  <c r="B454" i="5"/>
  <c r="C454" i="5" s="1"/>
  <c r="B455" i="5"/>
  <c r="C455" i="5" s="1"/>
  <c r="B456" i="5"/>
  <c r="C456" i="5" s="1"/>
  <c r="B457" i="5"/>
  <c r="C457" i="5" s="1"/>
  <c r="B458" i="5"/>
  <c r="C458" i="5" s="1"/>
  <c r="B459" i="5"/>
  <c r="C459" i="5" s="1"/>
  <c r="B460" i="5"/>
  <c r="C460" i="5" s="1"/>
  <c r="B461" i="5"/>
  <c r="C461" i="5" s="1"/>
  <c r="B462" i="5"/>
  <c r="C462" i="5" s="1"/>
  <c r="B463" i="5"/>
  <c r="C463" i="5" s="1"/>
  <c r="B464" i="5"/>
  <c r="C464" i="5" s="1"/>
  <c r="B465" i="5"/>
  <c r="C465" i="5" s="1"/>
  <c r="B466" i="5"/>
  <c r="C466" i="5" s="1"/>
  <c r="B467" i="5"/>
  <c r="C467" i="5" s="1"/>
  <c r="B468" i="5"/>
  <c r="C468" i="5" s="1"/>
  <c r="B469" i="5"/>
  <c r="C469" i="5" s="1"/>
  <c r="B470" i="5"/>
  <c r="C470" i="5" s="1"/>
  <c r="B471" i="5"/>
  <c r="C471" i="5" s="1"/>
  <c r="B472" i="5"/>
  <c r="C472" i="5" s="1"/>
  <c r="B473" i="5"/>
  <c r="C473" i="5" s="1"/>
  <c r="B474" i="5"/>
  <c r="C474" i="5" s="1"/>
  <c r="B475" i="5"/>
  <c r="C475" i="5" s="1"/>
  <c r="B476" i="5"/>
  <c r="C476" i="5" s="1"/>
  <c r="B477" i="5"/>
  <c r="C477" i="5" s="1"/>
  <c r="B478" i="5"/>
  <c r="C478" i="5" s="1"/>
  <c r="B479" i="5"/>
  <c r="C479" i="5" s="1"/>
  <c r="B480" i="5"/>
  <c r="C480" i="5" s="1"/>
  <c r="B481" i="5"/>
  <c r="C481" i="5" s="1"/>
  <c r="B482" i="5"/>
  <c r="C482" i="5" s="1"/>
  <c r="B483" i="5"/>
  <c r="C483" i="5" s="1"/>
  <c r="B484" i="5"/>
  <c r="C484" i="5" s="1"/>
  <c r="B485" i="5"/>
  <c r="C485" i="5" s="1"/>
  <c r="B486" i="5"/>
  <c r="C486" i="5" s="1"/>
  <c r="B487" i="5"/>
  <c r="C487" i="5" s="1"/>
  <c r="B488" i="5"/>
  <c r="C488" i="5" s="1"/>
  <c r="B489" i="5"/>
  <c r="C489" i="5" s="1"/>
  <c r="B490" i="5"/>
  <c r="C490" i="5" s="1"/>
  <c r="B491" i="5"/>
  <c r="C491" i="5" s="1"/>
  <c r="B492" i="5"/>
  <c r="C492" i="5" s="1"/>
  <c r="B493" i="5"/>
  <c r="C493" i="5" s="1"/>
  <c r="B494" i="5"/>
  <c r="C494" i="5" s="1"/>
  <c r="B495" i="5"/>
  <c r="C495" i="5" s="1"/>
  <c r="B496" i="5"/>
  <c r="C496" i="5" s="1"/>
  <c r="B497" i="5"/>
  <c r="C497" i="5" s="1"/>
  <c r="B498" i="5"/>
  <c r="C498" i="5" s="1"/>
  <c r="B499" i="5"/>
  <c r="C499" i="5" s="1"/>
  <c r="B500" i="5"/>
  <c r="C500" i="5" s="1"/>
  <c r="B501" i="5"/>
  <c r="C501" i="5" s="1"/>
  <c r="B502" i="5"/>
  <c r="C502" i="5" s="1"/>
  <c r="B503" i="5"/>
  <c r="C503" i="5" s="1"/>
  <c r="B504" i="5"/>
  <c r="C504" i="5" s="1"/>
  <c r="B505" i="5"/>
  <c r="C505" i="5" s="1"/>
  <c r="B506" i="5"/>
  <c r="C506" i="5" s="1"/>
  <c r="B507" i="5"/>
  <c r="C507" i="5" s="1"/>
  <c r="B508" i="5"/>
  <c r="C508" i="5" s="1"/>
  <c r="B509" i="5"/>
  <c r="C509" i="5" s="1"/>
  <c r="B510" i="5"/>
  <c r="C510" i="5" s="1"/>
  <c r="B511" i="5"/>
  <c r="C511" i="5" s="1"/>
  <c r="B512" i="5"/>
  <c r="C512" i="5" s="1"/>
  <c r="B513" i="5"/>
  <c r="C513" i="5" s="1"/>
  <c r="B514" i="5"/>
  <c r="C514" i="5" s="1"/>
  <c r="B515" i="5"/>
  <c r="C515" i="5" s="1"/>
  <c r="B516" i="5"/>
  <c r="C516" i="5" s="1"/>
  <c r="B517" i="5"/>
  <c r="C517" i="5" s="1"/>
  <c r="B518" i="5"/>
  <c r="C518" i="5" s="1"/>
  <c r="B519" i="5"/>
  <c r="C519" i="5" s="1"/>
  <c r="B520" i="5"/>
  <c r="C520" i="5" s="1"/>
  <c r="B521" i="5"/>
  <c r="C521" i="5" s="1"/>
  <c r="B522" i="5"/>
  <c r="C522" i="5" s="1"/>
  <c r="B523" i="5"/>
  <c r="C523" i="5" s="1"/>
  <c r="B524" i="5"/>
  <c r="C524" i="5" s="1"/>
  <c r="B525" i="5"/>
  <c r="C525" i="5" s="1"/>
  <c r="B526" i="5"/>
  <c r="C526" i="5" s="1"/>
  <c r="B527" i="5"/>
  <c r="C527" i="5" s="1"/>
  <c r="B528" i="5"/>
  <c r="C528" i="5" s="1"/>
  <c r="B529" i="5"/>
  <c r="C529" i="5" s="1"/>
  <c r="B530" i="5"/>
  <c r="C530" i="5" s="1"/>
  <c r="B531" i="5"/>
  <c r="C531" i="5" s="1"/>
  <c r="B532" i="5"/>
  <c r="C532" i="5" s="1"/>
  <c r="B533" i="5"/>
  <c r="C533" i="5" s="1"/>
  <c r="B534" i="5"/>
  <c r="C534" i="5" s="1"/>
  <c r="B535" i="5"/>
  <c r="C535" i="5" s="1"/>
  <c r="B536" i="5"/>
  <c r="C536" i="5" s="1"/>
  <c r="B537" i="5"/>
  <c r="C537" i="5" s="1"/>
  <c r="B538" i="5"/>
  <c r="C538" i="5" s="1"/>
  <c r="B539" i="5"/>
  <c r="C539" i="5" s="1"/>
  <c r="B540" i="5"/>
  <c r="C540" i="5" s="1"/>
  <c r="B541" i="5"/>
  <c r="C541" i="5" s="1"/>
  <c r="B542" i="5"/>
  <c r="C542" i="5" s="1"/>
  <c r="B543" i="5"/>
  <c r="C543" i="5" s="1"/>
  <c r="B544" i="5"/>
  <c r="C544" i="5" s="1"/>
  <c r="B545" i="5"/>
  <c r="C545" i="5" s="1"/>
  <c r="B546" i="5"/>
  <c r="C546" i="5" s="1"/>
  <c r="B547" i="5"/>
  <c r="C547" i="5" s="1"/>
  <c r="B548" i="5"/>
  <c r="C548" i="5" s="1"/>
  <c r="B549" i="5"/>
  <c r="C549" i="5" s="1"/>
  <c r="B550" i="5"/>
  <c r="C550" i="5" s="1"/>
  <c r="B551" i="5"/>
  <c r="C551" i="5" s="1"/>
  <c r="B552" i="5"/>
  <c r="C552" i="5" s="1"/>
  <c r="B553" i="5"/>
  <c r="C553" i="5" s="1"/>
  <c r="B554" i="5"/>
  <c r="C554" i="5" s="1"/>
  <c r="B555" i="5"/>
  <c r="C555" i="5" s="1"/>
  <c r="B556" i="5"/>
  <c r="C556" i="5" s="1"/>
  <c r="B558" i="5"/>
  <c r="C558" i="5" s="1"/>
  <c r="B559" i="5"/>
  <c r="C559" i="5" s="1"/>
  <c r="B560" i="5"/>
  <c r="C560" i="5" s="1"/>
  <c r="B561" i="5"/>
  <c r="C561" i="5" s="1"/>
  <c r="B562" i="5"/>
  <c r="C562" i="5" s="1"/>
  <c r="B563" i="5"/>
  <c r="C563" i="5" s="1"/>
  <c r="B564" i="5"/>
  <c r="C564" i="5" s="1"/>
  <c r="B565" i="5"/>
  <c r="C565" i="5" s="1"/>
  <c r="B566" i="5"/>
  <c r="C566" i="5" s="1"/>
  <c r="B567" i="5"/>
  <c r="C567" i="5" s="1"/>
  <c r="B568" i="5"/>
  <c r="C568" i="5" s="1"/>
  <c r="B569" i="5"/>
  <c r="C569" i="5" s="1"/>
  <c r="B570" i="5"/>
  <c r="C570" i="5" s="1"/>
  <c r="B571" i="5"/>
  <c r="C571" i="5" s="1"/>
  <c r="B572" i="5"/>
  <c r="C572" i="5" s="1"/>
  <c r="B573" i="5"/>
  <c r="C573" i="5" s="1"/>
  <c r="B574" i="5"/>
  <c r="C574" i="5" s="1"/>
  <c r="B575" i="5"/>
  <c r="C575" i="5" s="1"/>
  <c r="B576" i="5"/>
  <c r="C576" i="5" s="1"/>
  <c r="B577" i="5"/>
  <c r="C577" i="5" s="1"/>
  <c r="B578" i="5"/>
  <c r="C578" i="5" s="1"/>
  <c r="B579" i="5"/>
  <c r="C579" i="5" s="1"/>
  <c r="B580" i="5"/>
  <c r="C580" i="5" s="1"/>
  <c r="B581" i="5"/>
  <c r="C581" i="5" s="1"/>
  <c r="B583" i="5"/>
  <c r="C583" i="5" s="1"/>
  <c r="B584" i="5"/>
  <c r="C584" i="5" s="1"/>
  <c r="B585" i="5"/>
  <c r="C585" i="5" s="1"/>
  <c r="B586" i="5"/>
  <c r="C586" i="5" s="1"/>
  <c r="B587" i="5"/>
  <c r="C587" i="5" s="1"/>
  <c r="B588" i="5"/>
  <c r="C588" i="5" s="1"/>
  <c r="B589" i="5"/>
  <c r="C589" i="5" s="1"/>
  <c r="B590" i="5"/>
  <c r="C590" i="5" s="1"/>
  <c r="B591" i="5"/>
  <c r="C591" i="5" s="1"/>
  <c r="B592" i="5"/>
  <c r="C592" i="5" s="1"/>
  <c r="B593" i="5"/>
  <c r="C593" i="5" s="1"/>
  <c r="B594" i="5"/>
  <c r="C594" i="5" s="1"/>
  <c r="B595" i="5"/>
  <c r="C595" i="5" s="1"/>
  <c r="B596" i="5"/>
  <c r="C596" i="5" s="1"/>
  <c r="B597" i="5"/>
  <c r="C597" i="5" s="1"/>
  <c r="B598" i="5"/>
  <c r="C598" i="5" s="1"/>
  <c r="B599" i="5"/>
  <c r="C599" i="5" s="1"/>
  <c r="B600" i="5"/>
  <c r="C600" i="5" s="1"/>
  <c r="B601" i="5"/>
  <c r="C601" i="5" s="1"/>
  <c r="B602" i="5"/>
  <c r="C602" i="5" s="1"/>
  <c r="B603" i="5"/>
  <c r="C603" i="5" s="1"/>
  <c r="B604" i="5"/>
  <c r="C604" i="5" s="1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4" i="5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G11" i="6"/>
  <c r="D20" i="6" a="1"/>
  <c r="D20" i="6" s="1"/>
  <c r="G6" i="6"/>
  <c r="G7" i="6"/>
  <c r="G8" i="6"/>
  <c r="G9" i="6"/>
  <c r="G10" i="6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G21" i="4" a="1"/>
  <c r="G21" i="4" s="1"/>
  <c r="G6" i="4"/>
  <c r="G7" i="4"/>
  <c r="G8" i="4"/>
  <c r="G9" i="4"/>
  <c r="G10" i="4"/>
  <c r="G11" i="4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E8" i="3"/>
  <c r="E9" i="3"/>
  <c r="E10" i="3"/>
  <c r="E11" i="3"/>
  <c r="E7" i="3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K605" i="5" l="1"/>
  <c r="B2" i="23" a="1"/>
  <c r="B2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<sst xmlns="http://schemas.openxmlformats.org/spreadsheetml/2006/main" count="2884" uniqueCount="350">
  <si>
    <t>name</t>
  </si>
  <si>
    <t>type</t>
  </si>
  <si>
    <t>is_entrance</t>
  </si>
  <si>
    <t>is_target</t>
  </si>
  <si>
    <t>priority</t>
  </si>
  <si>
    <t>has_vulnerabilities</t>
  </si>
  <si>
    <t>os_type</t>
  </si>
  <si>
    <t>FW1</t>
  </si>
  <si>
    <t>DMZ</t>
  </si>
  <si>
    <t>VPNSRV</t>
  </si>
  <si>
    <t>Server</t>
  </si>
  <si>
    <t>WebSRV1</t>
  </si>
  <si>
    <t>WebSRV2</t>
  </si>
  <si>
    <t>FW2</t>
  </si>
  <si>
    <t>SW1</t>
  </si>
  <si>
    <t>AD</t>
  </si>
  <si>
    <t>ERP</t>
  </si>
  <si>
    <t>Banking</t>
  </si>
  <si>
    <t>Email</t>
  </si>
  <si>
    <t>WMS</t>
  </si>
  <si>
    <t>CRM</t>
  </si>
  <si>
    <t>WIFI1</t>
  </si>
  <si>
    <t>WS1</t>
  </si>
  <si>
    <t>Workstation</t>
  </si>
  <si>
    <t>FW3</t>
  </si>
  <si>
    <t>SW2</t>
  </si>
  <si>
    <t>WS2</t>
  </si>
  <si>
    <t>WS3</t>
  </si>
  <si>
    <t>WS4</t>
  </si>
  <si>
    <t>FW4</t>
  </si>
  <si>
    <t>WIFI2</t>
  </si>
  <si>
    <t>WS5</t>
  </si>
  <si>
    <t>WS6</t>
  </si>
  <si>
    <t>WS7</t>
  </si>
  <si>
    <t>Inet</t>
  </si>
  <si>
    <t>WS8</t>
  </si>
  <si>
    <t>Firewall</t>
  </si>
  <si>
    <t>VPN Server</t>
  </si>
  <si>
    <t>Web Server 1</t>
  </si>
  <si>
    <t>Web Server 2</t>
  </si>
  <si>
    <t>Firewall protecting LAN in Datacenter</t>
  </si>
  <si>
    <t>Switch in Datacenter</t>
  </si>
  <si>
    <t>Active Directory</t>
  </si>
  <si>
    <t>ERP System</t>
  </si>
  <si>
    <t>Banking system</t>
  </si>
  <si>
    <t>Email server</t>
  </si>
  <si>
    <t>Warehouse Management System</t>
  </si>
  <si>
    <t>CRM system</t>
  </si>
  <si>
    <t>Wifi acess point in the Office</t>
  </si>
  <si>
    <t>Accounting Workstation in the office</t>
  </si>
  <si>
    <t>Firewall protecting LAN in the Office</t>
  </si>
  <si>
    <t>Switch in the Office</t>
  </si>
  <si>
    <t>warehouse manager workstation in the office</t>
  </si>
  <si>
    <t>Sales workstation in the office</t>
  </si>
  <si>
    <t>Remote workstation (remote worker)</t>
  </si>
  <si>
    <t>Warehouse worker workstation</t>
  </si>
  <si>
    <t>Firewall protecting Wifi in the warehouse</t>
  </si>
  <si>
    <t>Forklift onboard computer in the warehouse</t>
  </si>
  <si>
    <t>Wifi acess point in the warehouse</t>
  </si>
  <si>
    <t>SMM manager workstation in the office</t>
  </si>
  <si>
    <t>Windows Server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</si>
  <si>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</si>
  <si>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</si>
  <si>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</si>
  <si>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</si>
  <si>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</si>
  <si>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</si>
  <si>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</si>
  <si>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</si>
  <si>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</si>
  <si>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</si>
  <si>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</si>
  <si>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</si>
  <si>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</si>
  <si>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</si>
  <si>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</si>
  <si>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</si>
  <si>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</si>
  <si>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</si>
  <si>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</si>
  <si>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</si>
  <si>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</si>
  <si>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</si>
  <si>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</si>
  <si>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</si>
  <si>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</si>
  <si>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Asset_ID</t>
  </si>
  <si>
    <t>Note</t>
  </si>
  <si>
    <t>INSERT_TAG</t>
  </si>
  <si>
    <t>INSERT1</t>
  </si>
  <si>
    <t>INSERT VERTEX Asset(Asset_ID, Asset_Name, Asset_Description,  Asset_Note, Asset_Version, is_entrance, is_target, priority, has_vulnerability, TTB) VALUES</t>
  </si>
  <si>
    <t>Type_ID</t>
  </si>
  <si>
    <t>Type_Name</t>
  </si>
  <si>
    <t>description</t>
  </si>
  <si>
    <t>Physical or virtual server</t>
  </si>
  <si>
    <t>End-user desktop/laptop</t>
  </si>
  <si>
    <t>Network Device</t>
  </si>
  <si>
    <t>Router, switch, firewall</t>
  </si>
  <si>
    <t>Mobile Device</t>
  </si>
  <si>
    <t>Smartphone or tablet</t>
  </si>
  <si>
    <t>IoT Device</t>
  </si>
  <si>
    <t>Internet of Things device</t>
  </si>
  <si>
    <t>INSERT_HAS_TYPE</t>
  </si>
  <si>
    <t>INSERT2</t>
  </si>
  <si>
    <t>DT001</t>
  </si>
  <si>
    <t>DT002</t>
  </si>
  <si>
    <t>DT003</t>
  </si>
  <si>
    <t>DT004</t>
  </si>
  <si>
    <t>DT005</t>
  </si>
  <si>
    <t>INSERT</t>
  </si>
  <si>
    <t>INSERT3</t>
  </si>
  <si>
    <t>INSERT VERTEX Asset_Type(Type_ID,Type_Name, Type_Description) VALUES</t>
  </si>
  <si>
    <t>INSERT EDGE IF NOT EXISTS has_type(assigned_date) VALUES</t>
  </si>
  <si>
    <t>INSERT runs_on</t>
  </si>
  <si>
    <t>Generic</t>
  </si>
  <si>
    <t>Various</t>
  </si>
  <si>
    <t>Microsoft</t>
  </si>
  <si>
    <t>Cisco OS</t>
  </si>
  <si>
    <t>IOS</t>
  </si>
  <si>
    <t>Cisco</t>
  </si>
  <si>
    <t>OS_ID</t>
  </si>
  <si>
    <t>OS_Name</t>
  </si>
  <si>
    <t>OS_Version</t>
  </si>
  <si>
    <t>installation_date</t>
  </si>
  <si>
    <t>datetime</t>
  </si>
  <si>
    <t>license_key</t>
  </si>
  <si>
    <t>string</t>
  </si>
  <si>
    <t>INSERT4</t>
  </si>
  <si>
    <t>INSERT VERTEX OS_Type(OS_ID, OS_Name, OS_Version, OS_Vendor) VALUES</t>
  </si>
  <si>
    <t>OS_Vendor</t>
  </si>
  <si>
    <t>OPS0001</t>
  </si>
  <si>
    <t>OPS0002</t>
  </si>
  <si>
    <t>OPS0003</t>
  </si>
  <si>
    <t>OPS0004</t>
  </si>
  <si>
    <t>OPS0005</t>
  </si>
  <si>
    <t>Ubuntu</t>
  </si>
  <si>
    <t>Ubuntu Server</t>
  </si>
  <si>
    <t>Windows</t>
  </si>
  <si>
    <t>OPS0006</t>
  </si>
  <si>
    <t>ROSA</t>
  </si>
  <si>
    <t>ROSA desktop</t>
  </si>
  <si>
    <t>INSERT5</t>
  </si>
  <si>
    <t>INSERT EDGE IF NOT EXISTS runs_on(installation_date, license_key) VALUES</t>
  </si>
  <si>
    <t>IoT</t>
  </si>
  <si>
    <t>ip/0-65535</t>
  </si>
  <si>
    <t>-</t>
  </si>
  <si>
    <t>Inet_WS7</t>
  </si>
  <si>
    <t>Inet_WS8</t>
  </si>
  <si>
    <t>WiFi_Warehouse_WS6</t>
  </si>
  <si>
    <t>WiFi_Warehouse_WS5</t>
  </si>
  <si>
    <t>WiFi_Warehouse_WIFI2</t>
  </si>
  <si>
    <t>WiFi_Warehouse_FW4</t>
  </si>
  <si>
    <t>LAN_Office_WS4</t>
  </si>
  <si>
    <t>LAN_Office_WS3</t>
  </si>
  <si>
    <t>LAN_Office_WS2</t>
  </si>
  <si>
    <t>LAN_Office_SW2</t>
  </si>
  <si>
    <t>LAN_Office_FW3</t>
  </si>
  <si>
    <t>WiFi_Office_WS1</t>
  </si>
  <si>
    <t>WiFi_Office_WIFI1</t>
  </si>
  <si>
    <t>LAN_DC_CRM</t>
  </si>
  <si>
    <t>LAN_DC_WMS</t>
  </si>
  <si>
    <t>LAN_DC_Email</t>
  </si>
  <si>
    <t>LAN_DC_Banking</t>
  </si>
  <si>
    <t>LAN_DC_ERP</t>
  </si>
  <si>
    <t>LAN_DC_AD</t>
  </si>
  <si>
    <t>LAN_DC_SW1</t>
  </si>
  <si>
    <t>LAN_DC_FW2</t>
  </si>
  <si>
    <t>tcp/443</t>
  </si>
  <si>
    <t>DMZ_WebSRV2</t>
  </si>
  <si>
    <t>DMZ_WebSRV1</t>
  </si>
  <si>
    <t>DMZ_VPNSRV</t>
  </si>
  <si>
    <t>DMZ_FW1</t>
  </si>
  <si>
    <t>tcp/3389</t>
  </si>
  <si>
    <t>`</t>
  </si>
  <si>
    <t>tcp/389</t>
  </si>
  <si>
    <t>has_connectivity</t>
  </si>
  <si>
    <t>port/protocol</t>
  </si>
  <si>
    <t>hostname_Zone_ID</t>
  </si>
  <si>
    <t>to</t>
  </si>
  <si>
    <t>from</t>
  </si>
  <si>
    <t>Segment_ID</t>
  </si>
  <si>
    <t>Segment_Name</t>
  </si>
  <si>
    <t>Segment_Description</t>
  </si>
  <si>
    <t>SEG0001</t>
  </si>
  <si>
    <t>Internet, outside the perimeter</t>
  </si>
  <si>
    <t>SEG0002</t>
  </si>
  <si>
    <t>SEG0003</t>
  </si>
  <si>
    <t>SEG0004</t>
  </si>
  <si>
    <t>SEG0005</t>
  </si>
  <si>
    <t>SEG0006</t>
  </si>
  <si>
    <t>Office LAN</t>
  </si>
  <si>
    <t>DC Lan</t>
  </si>
  <si>
    <t>Warehouse WiFi</t>
  </si>
  <si>
    <t>Office WiFi</t>
  </si>
  <si>
    <t>Datacenter LAN</t>
  </si>
  <si>
    <t>Warehouse Wifi</t>
  </si>
  <si>
    <t>Segment_Version</t>
  </si>
  <si>
    <t>Segment_Date</t>
  </si>
  <si>
    <t>1.0</t>
  </si>
  <si>
    <t>INSERT6</t>
  </si>
  <si>
    <t xml:space="preserve">INSERT vertex Network_Segment(Segment_ID,Segment_Name,Segment_Description,Segment_Version, Segment_Date) VALUES </t>
  </si>
  <si>
    <t>Belongs_To</t>
  </si>
  <si>
    <t>Implements</t>
  </si>
  <si>
    <t>INSERT7</t>
  </si>
  <si>
    <t>INSERT EDGE IF NOT EXISTS implements() VALUES</t>
  </si>
  <si>
    <t>INSERT implements</t>
  </si>
  <si>
    <t>INSERT Belongs</t>
  </si>
  <si>
    <t>INSERT8</t>
  </si>
  <si>
    <t>INSERT EDGE IF NOT EXISTS belongs_to() VALUES</t>
  </si>
  <si>
    <t>ASSET_ID_FROM</t>
  </si>
  <si>
    <t>From2</t>
  </si>
  <si>
    <t>From1</t>
  </si>
  <si>
    <t>tcp/25</t>
  </si>
  <si>
    <t>udp/1194</t>
  </si>
  <si>
    <t>INSERT9</t>
  </si>
  <si>
    <t>INSERT EDGE IF NOT EXISTS connects_to(Connection_Protocol, Connection_Port) VALUES</t>
  </si>
  <si>
    <t>Test</t>
  </si>
  <si>
    <t>ASSET_ID_TO</t>
  </si>
  <si>
    <t>M1036</t>
  </si>
  <si>
    <t>M1015</t>
  </si>
  <si>
    <t>M1049</t>
  </si>
  <si>
    <t>M1013</t>
  </si>
  <si>
    <t>M1048</t>
  </si>
  <si>
    <t>M1047</t>
  </si>
  <si>
    <t>M1040</t>
  </si>
  <si>
    <t>M1046</t>
  </si>
  <si>
    <t>M1045</t>
  </si>
  <si>
    <t>M1043</t>
  </si>
  <si>
    <t>M1053</t>
  </si>
  <si>
    <t>M1057</t>
  </si>
  <si>
    <t>M1042</t>
  </si>
  <si>
    <t>M1055</t>
  </si>
  <si>
    <t>M1041</t>
  </si>
  <si>
    <t>M1039</t>
  </si>
  <si>
    <t>M1038</t>
  </si>
  <si>
    <t>M1050</t>
  </si>
  <si>
    <t>M1037</t>
  </si>
  <si>
    <t>M1035</t>
  </si>
  <si>
    <t>M1034</t>
  </si>
  <si>
    <t>M1033</t>
  </si>
  <si>
    <t>M1032</t>
  </si>
  <si>
    <t>M1031</t>
  </si>
  <si>
    <t>M1030</t>
  </si>
  <si>
    <t>M1028</t>
  </si>
  <si>
    <t>M1027</t>
  </si>
  <si>
    <t>M1056</t>
  </si>
  <si>
    <t>M1026</t>
  </si>
  <si>
    <t>M1025</t>
  </si>
  <si>
    <t>M1029</t>
  </si>
  <si>
    <t>M1022</t>
  </si>
  <si>
    <t>M1044</t>
  </si>
  <si>
    <t>M1024</t>
  </si>
  <si>
    <t>M1021</t>
  </si>
  <si>
    <t>M1020</t>
  </si>
  <si>
    <t>M1054</t>
  </si>
  <si>
    <t>M1019</t>
  </si>
  <si>
    <t>M1051</t>
  </si>
  <si>
    <t>M1052</t>
  </si>
  <si>
    <t>M1018</t>
  </si>
  <si>
    <t>M1017</t>
  </si>
  <si>
    <t>M1016</t>
  </si>
  <si>
    <t>Asset_Name</t>
  </si>
  <si>
    <t>INSERT10</t>
  </si>
  <si>
    <t>INSERT EDGE IF NOT EXISTS applied_to(Version, Maturity, Active) VALUES</t>
  </si>
  <si>
    <t>INSERTS FOR M1036</t>
  </si>
  <si>
    <t>INSERTS FOR M1015</t>
  </si>
  <si>
    <t>INSERTS FOR M1049</t>
  </si>
  <si>
    <t>INSERTS FOR M1013</t>
  </si>
  <si>
    <t>INSERTS FOR M1048</t>
  </si>
  <si>
    <t>INSERTS FOR M1047</t>
  </si>
  <si>
    <t>INSERTS FOR M1040</t>
  </si>
  <si>
    <t>INSERTS FOR M1046</t>
  </si>
  <si>
    <t>INSERTS FOR M1045</t>
  </si>
  <si>
    <t>INSERTS FOR M1043</t>
  </si>
  <si>
    <t>INSERTS FOR M1053</t>
  </si>
  <si>
    <t>INSERTS FOR M1057</t>
  </si>
  <si>
    <t>INSERTS FOR M1042</t>
  </si>
  <si>
    <t>INSERTS FOR M1055</t>
  </si>
  <si>
    <t>INSERTS FOR M1041</t>
  </si>
  <si>
    <t>INSERTS FOR M1039</t>
  </si>
  <si>
    <t>INSERTS FOR M1038</t>
  </si>
  <si>
    <t>INSERTS FOR M1050</t>
  </si>
  <si>
    <t>INSERTS FOR M1037</t>
  </si>
  <si>
    <t>INSERTS FOR M1035</t>
  </si>
  <si>
    <t>INSERTS FOR M1034</t>
  </si>
  <si>
    <t>INSERTS FOR M1033</t>
  </si>
  <si>
    <t>INSERTS FOR M1032</t>
  </si>
  <si>
    <t>INSERTS FOR M1031</t>
  </si>
  <si>
    <t>INSERTS FOR M1030</t>
  </si>
  <si>
    <t>INSERTS FOR M1028</t>
  </si>
  <si>
    <t>INSERTS FOR M1027</t>
  </si>
  <si>
    <t>INSERTS FOR M1056</t>
  </si>
  <si>
    <t>INSERTS FOR M1026</t>
  </si>
  <si>
    <t>INSERTS FOR M1025</t>
  </si>
  <si>
    <t>INSERTS FOR M1029</t>
  </si>
  <si>
    <t>INSERTS FOR M1022</t>
  </si>
  <si>
    <t>INSERTS FOR M1044</t>
  </si>
  <si>
    <t>INSERTS FOR M1024</t>
  </si>
  <si>
    <t>INSERTS FOR M1021</t>
  </si>
  <si>
    <t>INSERTS FOR M1020</t>
  </si>
  <si>
    <t>INSERTS FOR M1054</t>
  </si>
  <si>
    <t>INSERTS FOR M1019</t>
  </si>
  <si>
    <t>INSERTS FOR M1051</t>
  </si>
  <si>
    <t>INSERTS FOR M1052</t>
  </si>
  <si>
    <t>INSERTS FOR M1018</t>
  </si>
  <si>
    <t>INSERTS FOR M1017</t>
  </si>
  <si>
    <t>INSERTS FOR M1016</t>
  </si>
  <si>
    <t>Total</t>
  </si>
  <si>
    <t>Script</t>
  </si>
  <si>
    <t>Rank</t>
  </si>
  <si>
    <t>platform_id</t>
  </si>
  <si>
    <t>platform_name</t>
  </si>
  <si>
    <t>platform_description</t>
  </si>
  <si>
    <t>comment</t>
  </si>
  <si>
    <t>PLTF001</t>
  </si>
  <si>
    <t>PLTF002</t>
  </si>
  <si>
    <t>PLTF003</t>
  </si>
  <si>
    <t>PLTF004</t>
  </si>
  <si>
    <t>PLTF005</t>
  </si>
  <si>
    <t>PLTF006</t>
  </si>
  <si>
    <t>PLTF007</t>
  </si>
  <si>
    <t>PLTF008</t>
  </si>
  <si>
    <t>PLTF009</t>
  </si>
  <si>
    <t>PLTF010</t>
  </si>
  <si>
    <t>PLTF011</t>
  </si>
  <si>
    <t>Docker and such</t>
  </si>
  <si>
    <t>Infrastructure as a service</t>
  </si>
  <si>
    <t>Cisco IOS, Huwaei OS, etc.</t>
  </si>
  <si>
    <t>Any version of Windows, Serevr or desktop</t>
  </si>
  <si>
    <t>Any version of MacOS</t>
  </si>
  <si>
    <t>New versions, no Power stuff.</t>
  </si>
  <si>
    <t>What about other virtualisation? Let us leave it like this for a moment.</t>
  </si>
  <si>
    <t>Any flavour, any version</t>
  </si>
  <si>
    <t>INSERT11</t>
  </si>
  <si>
    <t>Containers</t>
  </si>
  <si>
    <t>ESXi</t>
  </si>
  <si>
    <t>IaaS</t>
  </si>
  <si>
    <t>Identity Provider</t>
  </si>
  <si>
    <t>Linux</t>
  </si>
  <si>
    <t>Network Devices</t>
  </si>
  <si>
    <t>Office Suite</t>
  </si>
  <si>
    <t>PRE</t>
  </si>
  <si>
    <t>SaaS</t>
  </si>
  <si>
    <t>macOS</t>
  </si>
  <si>
    <t>INSERT VERTEX MitrePlatform(platform_id, platform_name, platform_description, comment) VALUES</t>
  </si>
  <si>
    <t>MITRE Platform Type</t>
  </si>
  <si>
    <t>MITRE_PLATFORM ID</t>
  </si>
  <si>
    <t>repersents INSERT</t>
  </si>
  <si>
    <t>INSERT12</t>
  </si>
  <si>
    <t>INSERT EDGE IF NOT EXISTS represents ()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</si>
</sst>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Aptos"/>
    </font>
    <font>
      <sz val="14"/>
      <color theme="1"/>
      <name val="Aptos"/>
    </font>
    <font>
      <sz val="12"/>
      <color theme="1"/>
      <name val="Aptos"/>
    </font>
    <font>
      <sz val="12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9437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top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1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left" vertical="top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numFmt numFmtId="164" formatCode="_(* #,##0_);_(* \(#,##0\);_(* &quot;-&quot;_);_(@_)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mruColors>
      <color rgb="FF943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9BAA1-C536-5042-A079-AE27781242EB}" name="Assets" displayName="Assets" ref="A3:P28" totalsRowShown="0" dataDxfId="149">
  <autoFilter ref="A3:P28" xr:uid="{A8E9BAA1-C536-5042-A079-AE27781242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0000236-39D3-204F-B7A6-FD5C04302905}" name="Asset_ID" dataDxfId="148"/>
    <tableColumn id="2" xr3:uid="{CA2D5329-FF8C-0749-87C4-4E727B22A75B}" name="name" dataDxfId="147"/>
    <tableColumn id="3" xr3:uid="{D09B1C06-3931-AE42-8301-590DD1CBB8ED}" name="type" dataDxfId="146"/>
    <tableColumn id="4" xr3:uid="{BCFF9EB1-DBEC-A14A-8577-BF0EFA9EE77F}" name="Belongs_To" dataDxfId="145"/>
    <tableColumn id="14" xr3:uid="{4ED0202A-BFA3-304A-B80F-05E163E8CC4F}" name="Implements" dataDxfId="144"/>
    <tableColumn id="5" xr3:uid="{85089628-2B7D-F54B-9076-22EB63CBB74A}" name="is_entrance" dataDxfId="143"/>
    <tableColumn id="6" xr3:uid="{44ABE0C3-4526-7B47-8BB9-74654CD0701E}" name="is_target" dataDxfId="142"/>
    <tableColumn id="7" xr3:uid="{BBD5C725-1708-964C-888D-B8ED6E88FA48}" name="priority" dataDxfId="141"/>
    <tableColumn id="8" xr3:uid="{869166F7-C768-FE43-8F43-E36624E8A999}" name="has_vulnerabilities" dataDxfId="140"/>
    <tableColumn id="9" xr3:uid="{207CB80E-D7BF-C24A-9BDE-274146F89A27}" name="os_type" dataDxfId="139"/>
    <tableColumn id="10" xr3:uid="{7C8DBBAD-45C6-EE49-92BA-70B169167F01}" name="Note" dataDxfId="138"/>
    <tableColumn id="11" xr3:uid="{3241E2F1-28F1-E346-9363-320E6FF7CD47}" name="INSERT_TAG" dataDxfId="137">
      <calculatedColumnFormula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calculatedColumnFormula>
    </tableColumn>
    <tableColumn id="12" xr3:uid="{190B08E2-7412-6D44-886C-F5320FA6E625}" name="INSERT_HAS_TYPE" dataDxfId="136">
      <calculatedColumnFormula>INSERT2&amp;" "&amp;""""&amp;Assets[[#This Row],[Asset_ID]]&amp;""""&amp;"-&gt;"&amp;""""&amp;INDEX(AssetTypes[Type_ID],MATCH(Assets[[#This Row],[type]],AssetTypes[Type_Name],0))&amp;""""&amp;":(datetime());"</calculatedColumnFormula>
    </tableColumn>
    <tableColumn id="13" xr3:uid="{D4363308-36F1-F147-AAFA-6E5AFD9A3341}" name="INSERT runs_on" dataDxfId="135">
      <calculatedColumnFormula>INSERT5&amp;" "&amp;""""&amp;Assets[[#This Row],[Asset_ID]]&amp;""""&amp;"-&gt;"&amp;""""&amp;INDEX(OS_Types[OS_ID],MATCH(Assets[[#This Row],[os_type]],OS_Types[OS_Name],0))&amp;""""&amp;":(datetime(),"&amp;""""&amp;"NA"&amp;""""&amp;");"</calculatedColumnFormula>
    </tableColumn>
    <tableColumn id="15" xr3:uid="{7796A864-BF98-8A4D-8E5B-D6FF68E06C1E}" name="INSERT implements" dataDxfId="134">
      <calculatedColumnFormula>IFERROR(INSERT7&amp;" "&amp;""""&amp;Assets[[#This Row],[Asset_ID]]&amp;""""&amp;"-&gt;"&amp;""""&amp;INDEX(Segments_List[Segment_ID],MATCH(Assets[[#This Row],[Implements]],Segments_List[Segment_Name],0))&amp;""""&amp;":();","")</calculatedColumnFormula>
    </tableColumn>
    <tableColumn id="16" xr3:uid="{1DFCBFAF-5712-CB4F-8D91-F8A9099DD874}" name="INSERT Belongs" dataDxfId="133">
      <calculatedColumnFormula>IFERROR(INSERT8&amp;" "&amp;""""&amp;Assets[[#This Row],[Asset_ID]]&amp;""""&amp;"-&gt;"&amp;""""&amp;INDEX(Segments_List[Segment_ID],MATCH(Assets[[#This Row],[Belongs_To]],Segments_List[Segment_Name],0))&amp;""""&amp;":();","")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C44BB4-503B-8D42-8A6A-E1E30D267E79}" name="OS_Types" displayName="OS_Types" ref="C5:J11" totalsRowShown="0" headerRowDxfId="132" dataDxfId="131">
  <autoFilter ref="C5:J11" xr:uid="{3DC44BB4-503B-8D42-8A6A-E1E30D267E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F9EE26D-F25A-2B4A-A6B1-010ABB46AEFE}" name="OS_ID" dataDxfId="130"/>
    <tableColumn id="2" xr3:uid="{0B99D14A-1B11-A543-8A3C-53D908D68C77}" name="OS_Name" dataDxfId="129"/>
    <tableColumn id="3" xr3:uid="{84F51432-0B2A-3041-A709-592FAF22AB10}" name="OS_Version" dataDxfId="128"/>
    <tableColumn id="4" xr3:uid="{4CC088D7-5C62-6447-A1D9-8E4C59048FF4}" name="OS_Vendor" dataDxfId="127"/>
    <tableColumn id="5" xr3:uid="{F38F6E38-691C-814D-957F-075435C70E9D}" name="INSERT" dataDxfId="126">
      <calculatedColumnFormula>INSERT4&amp;" "&amp;""""&amp;OS_Types[[#This Row],[OS_ID]]&amp;""""&amp;":"&amp;"("&amp;""""&amp;OS_Types[[#This Row],[OS_ID]]&amp;""""&amp;", "&amp;""""&amp;OS_Types[[#This Row],[OS_Name]]&amp;""""&amp;", "&amp;""""&amp;OS_Types[[#This Row],[OS_Version]]&amp;""""&amp;", "&amp;""""&amp;OS_Types[[#This Row],[OS_Vendor]]&amp;""""&amp;");"</calculatedColumnFormula>
    </tableColumn>
    <tableColumn id="6" xr3:uid="{B21E525C-8CBE-B046-954D-2F65997655B8}" name="MITRE Platform Type" dataDxfId="2"/>
    <tableColumn id="7" xr3:uid="{011DAECA-DFFC-2F42-8965-5D5E29BE07AE}" name="MITRE_PLATFORM ID" dataDxfId="1">
      <calculatedColumnFormula>INDEX(Platforms[platform_id], MATCH(OS_Types[[#This Row],[MITRE Platform Type]],Platforms[platform_name],0))</calculatedColumnFormula>
    </tableColumn>
    <tableColumn id="8" xr3:uid="{6B2D8DA7-40CF-5543-B2E6-9C8454623142}" name="repersents INSERT" dataDxfId="0">
      <calculatedColumnFormula>INSERT12&amp;" "&amp;""""&amp;OS_Types[[#This Row],[OS_ID]]&amp;""""&amp;"-&gt;"&amp;""""&amp;OS_Types[[#This Row],[MITRE_PLATFORM ID]]&amp;""""&amp;"@0: ();"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E3E67D-F473-1540-8F50-17EFA0459EAD}" name="Platforms" displayName="Platforms" ref="B4:F15" totalsRowShown="0">
  <autoFilter ref="B4:F15" xr:uid="{63E3E67D-F473-1540-8F50-17EFA0459EA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461BE38-6236-A14D-8AC6-C190D409CC4E}" name="platform_id"/>
    <tableColumn id="2" xr3:uid="{0FD6D3FB-843C-6D46-97C8-4BDD96094913}" name="platform_name"/>
    <tableColumn id="3" xr3:uid="{EE2923DC-88DF-E74D-812A-6FBFAD459EF2}" name="platform_description"/>
    <tableColumn id="4" xr3:uid="{5D912D1F-B7F5-084B-9202-03741E86CF37}" name="comment"/>
    <tableColumn id="5" xr3:uid="{52FB87A7-78A1-6945-BA7C-DEEAF5DACA28}" name="INSERT" dataDxfId="3">
      <calculatedColumnFormula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484B9-6454-7E4F-9458-962B74B12B7A}" name="AssetTypes" displayName="AssetTypes" ref="B6:E11" totalsRowShown="0" headerRowDxfId="125" dataDxfId="124">
  <autoFilter ref="B6:E11" xr:uid="{14F484B9-6454-7E4F-9458-962B74B12B7A}">
    <filterColumn colId="0" hiddenButton="1"/>
    <filterColumn colId="1" hiddenButton="1"/>
    <filterColumn colId="2" hiddenButton="1"/>
    <filterColumn colId="3" hiddenButton="1"/>
  </autoFilter>
  <tableColumns count="4">
    <tableColumn id="1" xr3:uid="{48BD7827-2130-9D46-AC6A-CE96E90D5D05}" name="Type_ID" dataDxfId="123"/>
    <tableColumn id="2" xr3:uid="{D7811CC7-218F-2F4D-9657-FA114FB44911}" name="Type_Name" dataDxfId="122"/>
    <tableColumn id="3" xr3:uid="{C596D429-F196-8E47-AB0A-AC475CBA0046}" name="description" dataDxfId="121"/>
    <tableColumn id="4" xr3:uid="{CFE3EECA-E76B-7B45-9608-042DE5E704AE}" name="INSERT" dataDxfId="120">
      <calculatedColumnFormula>INSERT3&amp;" "&amp;""""&amp;AssetTypes[[#This Row],[Type_ID]]&amp;""""&amp;":("&amp;""""&amp;AssetTypes[[#This Row],[Type_ID]]&amp;""""&amp;", "&amp;""""&amp;AssetTypes[[#This Row],[Type_Name]]&amp;""""&amp;", "&amp;""""&amp;AssetTypes[[#This Row],[description]]&amp;""""&amp;");"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AC484B-7108-384C-B455-D3CF64A11EAF}" name="Segments_List" displayName="Segments_List" ref="B5:G11" totalsRowShown="0">
  <autoFilter ref="B5:G11" xr:uid="{37AC484B-7108-384C-B455-D3CF64A11E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0B0BBC-678B-0143-9518-95DA2E103734}" name="Segment_ID"/>
    <tableColumn id="2" xr3:uid="{3BC58727-16EB-E74D-876F-9244CDAD7816}" name="Segment_Name"/>
    <tableColumn id="3" xr3:uid="{B44EE279-148D-7547-90F8-9F8A39E92FDA}" name="Segment_Description"/>
    <tableColumn id="4" xr3:uid="{272E92D0-10E5-D74A-A34B-D37B011999A7}" name="Segment_Version" dataDxfId="119"/>
    <tableColumn id="5" xr3:uid="{17462440-8992-FB47-96A5-13655CD69E63}" name="Segment_Date"/>
    <tableColumn id="6" xr3:uid="{00D96F56-7091-E74B-AE26-CF2458A5AEAD}" name="INSERT" dataDxfId="118">
      <calculatedColumnFormula>INSERT6&amp;""""&amp;Segments_List[[#This Row],[Segment_ID]]&amp;""""&amp;":("&amp;""""&amp;Segments_List[[#This Row],[Segment_ID]]&amp;""""&amp;", "&amp;""""&amp;Segments_List[[#This Row],[Segment_Name]]&amp;""""&amp;", "&amp;""""&amp;Segments_List[[#This Row],[Segment_Description]]&amp;""""&amp;", "&amp;""""&amp;Segments_List[[#This Row],[Segment_Version]]&amp;""""&amp;", date());"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C248B9-9910-B547-81CF-BF78EFAD6A3C}" name="Network_Connections" displayName="Network_Connections" ref="A1:L605" totalsRowCount="1" headerRowDxfId="117" dataDxfId="116">
  <tableColumns count="12">
    <tableColumn id="1" xr3:uid="{DE0A4E06-D625-A248-852C-6F5909F72D58}" name="from" totalsRowLabel="Total" dataDxfId="115" totalsRowDxfId="114"/>
    <tableColumn id="6" xr3:uid="{289C76EE-3E5F-8B42-BB0E-C24E48C3075B}" name="From1" dataDxfId="113" totalsRowDxfId="112">
      <calculatedColumnFormula xml:space="preserve"> SUBSTITUTE(RIGHT(SUBSTITUTE(Network_Connections[[#This Row],[from]],"_",REPT("*",10)),10),"*","")</calculatedColumnFormula>
    </tableColumn>
    <tableColumn id="7" xr3:uid="{75162953-5B52-3142-9E2C-2680A1E6F099}" name="ASSET_ID_FROM" dataDxfId="111" totalsRowDxfId="110">
      <calculatedColumnFormula>INDEX(Assets[Asset_ID],MATCH(Network_Connections[[#This Row],[From1]],Assets[name],0))</calculatedColumnFormula>
    </tableColumn>
    <tableColumn id="2" xr3:uid="{1EB454D7-FEF1-AB4F-9B93-00FE1F8DC1E7}" name="to" dataDxfId="109" totalsRowDxfId="108"/>
    <tableColumn id="9" xr3:uid="{06FEDF61-E3EE-754F-A239-9AF951FE873A}" name="From2" dataDxfId="107" totalsRowDxfId="106">
      <calculatedColumnFormula xml:space="preserve"> SUBSTITUTE(RIGHT(SUBSTITUTE(Network_Connections[[#This Row],[to]],"_",REPT("*",10)),10),"*","")</calculatedColumnFormula>
    </tableColumn>
    <tableColumn id="8" xr3:uid="{EFCAADC1-FD4C-1045-BB3A-A6DBA7F3755E}" name="ASSET_ID_TO" dataDxfId="105" totalsRowDxfId="104">
      <calculatedColumnFormula>INDEX(Assets[Asset_ID],MATCH(Network_Connections[[#This Row],[From2]],Assets[name],0))</calculatedColumnFormula>
    </tableColumn>
    <tableColumn id="3" xr3:uid="{F9AE984E-9B81-FB45-B4A1-50DB6CA4C16E}" name="hostname_Zone_ID" dataDxfId="103" totalsRowDxfId="102"/>
    <tableColumn id="4" xr3:uid="{09D293F4-6447-EC40-BA04-C8994DB6DB9D}" name="port/protocol" dataDxfId="101" totalsRowDxfId="100"/>
    <tableColumn id="5" xr3:uid="{F4EC6F1D-6DA8-6241-B67B-B6CB259F0807}" name="has_connectivity" totalsRowFunction="sum" dataDxfId="99" totalsRowDxfId="98"/>
    <tableColumn id="10" xr3:uid="{EE621787-9581-F348-8DE2-6B4320BE4186}" name="Script" dataDxfId="97" totalsRowDxfId="96">
      <calculatedColumnFormula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calculatedColumnFormula>
    </tableColumn>
    <tableColumn id="11" xr3:uid="{8BE75391-1F24-4843-B686-FA38E8438423}" name="Test" totalsRowFunction="count" dataDxfId="95" totalsRowDxfId="94">
      <calculatedColumnFormula>RIGHT(Network_Connections[[#This Row],[port/protocol]],LEN(Network_Connections[[#This Row],[port/protocol]])-FIND("/",Network_Connections[[#This Row],[port/protocol]]))</calculatedColumnFormula>
    </tableColumn>
    <tableColumn id="12" xr3:uid="{EBCB8067-696B-964E-828B-206A4757C3D6}" name="Rank" dataDxfId="93" totalsRowDxfId="92">
      <calculatedColumnFormula>IF(AND(C2=C1, F2=F1), L1+1, 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691FAD-E27D-6A42-8C50-8723C10C3B98}" name="Mitigations" displayName="Mitigations" ref="B3:CK28" totalsRowShown="0">
  <autoFilter ref="B3:CK28" xr:uid="{C6691FAD-E27D-6A42-8C50-8723C10C3B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</autoFilter>
  <tableColumns count="88">
    <tableColumn id="46" xr3:uid="{1ED27896-4769-AD43-A8FB-F124F89B6E4C}" name="Asset_ID" dataDxfId="91"/>
    <tableColumn id="45" xr3:uid="{9B62DE8C-876B-0F4C-9811-F9B3AE342A82}" name="Asset_Name" dataDxfId="90"/>
    <tableColumn id="2" xr3:uid="{C88CB757-3F48-8A43-BDD5-677B517EF914}" name="M1036" dataDxfId="89"/>
    <tableColumn id="3" xr3:uid="{83247B87-0EC4-BB45-8BDE-810C66F08603}" name="M1015" dataDxfId="88"/>
    <tableColumn id="4" xr3:uid="{A890709E-C25E-6840-B0FB-4D68538D0AD1}" name="M1049" dataDxfId="87"/>
    <tableColumn id="5" xr3:uid="{F3DD03CF-B117-E443-913D-DFF250838970}" name="M1013" dataDxfId="86"/>
    <tableColumn id="6" xr3:uid="{B63C422C-A533-284C-9C6F-E2250E19866A}" name="M1048" dataDxfId="85"/>
    <tableColumn id="7" xr3:uid="{0E26C40E-9269-8D44-AD1F-1A13C69FB9D5}" name="M1047" dataDxfId="84"/>
    <tableColumn id="8" xr3:uid="{57B17F1D-4B37-704B-9D19-43F146E03012}" name="M1040" dataDxfId="83"/>
    <tableColumn id="9" xr3:uid="{3CA44B91-9004-FD42-B12D-57DDAA6C7EB1}" name="M1046" dataDxfId="82"/>
    <tableColumn id="10" xr3:uid="{FCC7C30F-34F7-AE4B-B43F-E8DFADB2BA8F}" name="M1045" dataDxfId="81"/>
    <tableColumn id="11" xr3:uid="{51E51945-E457-D54C-9A42-0D4444527677}" name="M1043" dataDxfId="80"/>
    <tableColumn id="12" xr3:uid="{88C3E5F1-F99D-CA4E-BAE1-ED35AB753C86}" name="M1053" dataDxfId="79"/>
    <tableColumn id="13" xr3:uid="{1F84ECFE-A802-1D4B-A6A8-2CDCAA297D7C}" name="M1057" dataDxfId="78"/>
    <tableColumn id="14" xr3:uid="{68346507-E94D-0043-96B3-B9641DF81C19}" name="M1042" dataDxfId="77"/>
    <tableColumn id="15" xr3:uid="{E782B944-B30F-FE4F-96D8-87C4EBF01CE4}" name="M1055" dataDxfId="76"/>
    <tableColumn id="16" xr3:uid="{5EF533D2-8DF6-A64F-AB2C-F6D576DA797D}" name="M1041" dataDxfId="75"/>
    <tableColumn id="17" xr3:uid="{91F57C5A-856C-524A-943D-4645B92A00B1}" name="M1039" dataDxfId="74"/>
    <tableColumn id="18" xr3:uid="{ED474D58-5AC7-E24F-BDC8-7E731789E231}" name="M1038" dataDxfId="73"/>
    <tableColumn id="19" xr3:uid="{8FD30683-18ED-1044-981D-B13616CFB53B}" name="M1050" dataDxfId="72"/>
    <tableColumn id="20" xr3:uid="{FDCC4AFA-7A70-114A-95F1-1C8E6D2E41EF}" name="M1037" dataDxfId="71"/>
    <tableColumn id="21" xr3:uid="{5819D6BA-EE69-274B-9116-132AD5E6045B}" name="M1035" dataDxfId="70"/>
    <tableColumn id="22" xr3:uid="{3B4F2445-66FC-1F45-B383-93B6B98DFA47}" name="M1034" dataDxfId="69"/>
    <tableColumn id="23" xr3:uid="{7C96A860-0F7E-604B-B8EE-028884CAF1E8}" name="M1033" dataDxfId="68"/>
    <tableColumn id="24" xr3:uid="{FD31EC93-43CB-DA4D-AD97-16A944D4A407}" name="M1032" dataDxfId="67"/>
    <tableColumn id="25" xr3:uid="{7E6CC52A-C46D-7440-B8B4-F4DE10571896}" name="M1031" dataDxfId="66"/>
    <tableColumn id="26" xr3:uid="{B73FBC80-DAF5-BA45-B731-D7785E184C7F}" name="M1030" dataDxfId="65"/>
    <tableColumn id="27" xr3:uid="{4163CD57-FE99-3040-BD9E-D34846468628}" name="M1028" dataDxfId="64"/>
    <tableColumn id="28" xr3:uid="{F0A0E7E3-2408-5B4E-814D-0F81BB789333}" name="M1027" dataDxfId="63"/>
    <tableColumn id="29" xr3:uid="{87F026B5-D258-BC49-AC79-95329540E92C}" name="M1056" dataDxfId="62"/>
    <tableColumn id="30" xr3:uid="{E10AF88B-2C12-9143-9E07-E96B19A4B236}" name="M1026" dataDxfId="61"/>
    <tableColumn id="31" xr3:uid="{228DA09B-D744-8943-BE20-2CD856F5A9EA}" name="M1025" dataDxfId="60"/>
    <tableColumn id="32" xr3:uid="{BD0B7297-04C3-C24A-B3F0-EBC707C933EF}" name="M1029" dataDxfId="59"/>
    <tableColumn id="33" xr3:uid="{BEED30F8-CF78-8D4C-AB38-0A46E611263B}" name="M1022" dataDxfId="58"/>
    <tableColumn id="34" xr3:uid="{AD15C427-27A9-7642-8019-6B1342F4CB78}" name="M1044" dataDxfId="57"/>
    <tableColumn id="35" xr3:uid="{BB8E2788-E52D-B748-9B97-5F30AF7273C5}" name="M1024" dataDxfId="56"/>
    <tableColumn id="36" xr3:uid="{A62B655D-3259-9547-98A3-0ACE43AADFCA}" name="M1021" dataDxfId="55"/>
    <tableColumn id="37" xr3:uid="{C6EC9C45-412F-E64A-B712-7B7A96737A66}" name="M1020" dataDxfId="54"/>
    <tableColumn id="38" xr3:uid="{F35B6235-7C10-1A48-96D1-CD4A17597636}" name="M1054" dataDxfId="53"/>
    <tableColumn id="39" xr3:uid="{7B9046E8-D947-384B-95E5-054FB3E94D1F}" name="M1019" dataDxfId="52"/>
    <tableColumn id="40" xr3:uid="{8C1E4C98-A036-1E46-9523-1A26731E36C3}" name="M1051" dataDxfId="51"/>
    <tableColumn id="41" xr3:uid="{107E31F6-346F-6C4C-AE9D-449573388422}" name="M1052" dataDxfId="50"/>
    <tableColumn id="42" xr3:uid="{024E937C-DE6C-174A-860A-819A60511B8D}" name="M1018" dataDxfId="49"/>
    <tableColumn id="43" xr3:uid="{1AA030F6-49DD-7A4C-8900-21FC84CE6280}" name="M1017" dataDxfId="48"/>
    <tableColumn id="44" xr3:uid="{97A8B641-8782-4A40-ADB3-504718472ED0}" name="M1016" dataDxfId="47"/>
    <tableColumn id="47" xr3:uid="{D9B56748-7E7B-B849-BDC6-B25AD544EA7E}" name="INSERTS FOR M1036" dataDxfId="46">
      <calculatedColumnFormula array="1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calculatedColumnFormula>
    </tableColumn>
    <tableColumn id="48" xr3:uid="{0D9BC721-D4CB-9444-94D6-8A9F9D5979CC}" name="INSERTS FOR M1015" dataDxfId="45"/>
    <tableColumn id="49" xr3:uid="{243D030C-6692-8A4E-9850-14E269CE4785}" name="INSERTS FOR M1049" dataDxfId="44"/>
    <tableColumn id="50" xr3:uid="{DA429307-EC15-254F-A642-F81387C1E41B}" name="INSERTS FOR M1013" dataDxfId="43"/>
    <tableColumn id="51" xr3:uid="{9D800E4C-C55B-9241-8DD4-E39D6CB40D00}" name="INSERTS FOR M1048" dataDxfId="42"/>
    <tableColumn id="52" xr3:uid="{A33CFE75-3BB0-C74A-B3C2-267CD51EC823}" name="INSERTS FOR M1047" dataDxfId="41"/>
    <tableColumn id="53" xr3:uid="{109867DE-A210-1E44-8874-2FE6666F6776}" name="INSERTS FOR M1040" dataDxfId="40"/>
    <tableColumn id="54" xr3:uid="{6208E457-B6ED-8240-AD23-60BCB41AFE2E}" name="INSERTS FOR M1046" dataDxfId="39"/>
    <tableColumn id="55" xr3:uid="{0C40EA43-5FDC-D147-A387-AE24E6CC4892}" name="INSERTS FOR M1045" dataDxfId="38"/>
    <tableColumn id="56" xr3:uid="{DABD3D8B-A873-8C40-9ADD-A3112864F3CC}" name="INSERTS FOR M1043" dataDxfId="37"/>
    <tableColumn id="57" xr3:uid="{294A02D9-FB06-E24A-8152-87CEF4A4043B}" name="INSERTS FOR M1053" dataDxfId="36"/>
    <tableColumn id="58" xr3:uid="{75356D69-6459-B043-9933-27907885857B}" name="INSERTS FOR M1057" dataDxfId="35"/>
    <tableColumn id="59" xr3:uid="{7D59C5F9-4245-0A43-A56B-54625F4E9FDD}" name="INSERTS FOR M1042" dataDxfId="34"/>
    <tableColumn id="60" xr3:uid="{E1BF1FAE-BDDA-7043-A0D4-1EED8E16A75D}" name="INSERTS FOR M1055" dataDxfId="33"/>
    <tableColumn id="61" xr3:uid="{383884CC-3884-1B41-8264-64F0971679CB}" name="INSERTS FOR M1041" dataDxfId="32"/>
    <tableColumn id="62" xr3:uid="{095B8ADC-FB0A-9E4E-A8E7-C80B950DC184}" name="INSERTS FOR M1039" dataDxfId="31"/>
    <tableColumn id="63" xr3:uid="{3758DE26-E90B-D349-AEB9-7200EC322FEB}" name="INSERTS FOR M1038" dataDxfId="30"/>
    <tableColumn id="64" xr3:uid="{A28D3928-F780-2147-B470-7915CCA58E53}" name="INSERTS FOR M1050" dataDxfId="29"/>
    <tableColumn id="65" xr3:uid="{1107D997-9EF1-E149-9EA2-B6688848FD88}" name="INSERTS FOR M1037" dataDxfId="28"/>
    <tableColumn id="66" xr3:uid="{31656C11-580E-3745-BC93-84B077039D22}" name="INSERTS FOR M1035" dataDxfId="27"/>
    <tableColumn id="67" xr3:uid="{61F67FF7-7730-6347-B1D3-ABF618EBB61B}" name="INSERTS FOR M1034" dataDxfId="26"/>
    <tableColumn id="68" xr3:uid="{26A0B793-59CF-9446-A50B-07B30124CE7A}" name="INSERTS FOR M1033" dataDxfId="25"/>
    <tableColumn id="69" xr3:uid="{09E736B8-AEDF-BC48-A59E-086B031B1BC3}" name="INSERTS FOR M1032" dataDxfId="24"/>
    <tableColumn id="70" xr3:uid="{0B6787CE-612C-E94E-A57C-1CA1FE056A76}" name="INSERTS FOR M1031" dataDxfId="23"/>
    <tableColumn id="71" xr3:uid="{78B4A9B6-309E-2746-9495-F6F4DBFDFE82}" name="INSERTS FOR M1030" dataDxfId="22"/>
    <tableColumn id="72" xr3:uid="{4A0CDC12-408E-F743-A06C-0BC32B20B4B5}" name="INSERTS FOR M1028" dataDxfId="21"/>
    <tableColumn id="73" xr3:uid="{B0EB02AF-0FE4-2842-853E-3F4B1324BF88}" name="INSERTS FOR M1027" dataDxfId="20"/>
    <tableColumn id="74" xr3:uid="{84A6CA5A-6731-CD45-B87D-41DFBB225C47}" name="INSERTS FOR M1056" dataDxfId="19"/>
    <tableColumn id="75" xr3:uid="{C6DED18E-AB08-3042-B076-1E9659550F94}" name="INSERTS FOR M1026" dataDxfId="18"/>
    <tableColumn id="76" xr3:uid="{ABB429BA-5AA0-954D-8A4E-F3C19427B09A}" name="INSERTS FOR M1025" dataDxfId="17"/>
    <tableColumn id="77" xr3:uid="{45FF1C55-06A4-DD45-8951-423EFA94EC97}" name="INSERTS FOR M1029" dataDxfId="16"/>
    <tableColumn id="78" xr3:uid="{0F77C5FF-3679-F247-995B-76DB60C58227}" name="INSERTS FOR M1022" dataDxfId="15"/>
    <tableColumn id="79" xr3:uid="{4C7D7B1D-BFF0-C44B-B459-E9707263BC40}" name="INSERTS FOR M1044" dataDxfId="14"/>
    <tableColumn id="80" xr3:uid="{A9CB66F5-C8B0-1142-AA57-642A900D1DA7}" name="INSERTS FOR M1024" dataDxfId="13"/>
    <tableColumn id="81" xr3:uid="{00E2AEBD-943A-904E-80AC-44FBD1CCF839}" name="INSERTS FOR M1021" dataDxfId="12"/>
    <tableColumn id="82" xr3:uid="{3FDF43B8-51E6-5E47-9C16-96BE9B183A44}" name="INSERTS FOR M1020" dataDxfId="11"/>
    <tableColumn id="83" xr3:uid="{5BF2ACCA-87D3-3D4F-B9F5-2815B0A5D651}" name="INSERTS FOR M1054" dataDxfId="10"/>
    <tableColumn id="84" xr3:uid="{51D6B78C-C45C-104D-8D6D-57A1FB4DBC22}" name="INSERTS FOR M1019" dataDxfId="9"/>
    <tableColumn id="85" xr3:uid="{4B3DF61F-7918-044E-BF8D-B32E4E674CED}" name="INSERTS FOR M1051" dataDxfId="8"/>
    <tableColumn id="86" xr3:uid="{98F0E49C-F8A2-1749-917D-E01C6A1E9F9C}" name="INSERTS FOR M1052" dataDxfId="7"/>
    <tableColumn id="87" xr3:uid="{C56D3A48-6EDE-2249-9FC3-1163912B33B5}" name="INSERTS FOR M1018" dataDxfId="6"/>
    <tableColumn id="88" xr3:uid="{14D38BE6-5C27-874E-9272-042870312681}" name="INSERTS FOR M1017" dataDxfId="5"/>
    <tableColumn id="89" xr3:uid="{F1480911-E5C0-5242-BBA4-3CAD7C145A22}" name="INSERTS FOR M1016" dataDxfId="4"/>
  </tableColumns>
  <tableStyleInfo name="TableStyleMedium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D920863-DBBD-FB49-90D9-A64C5D878A33}">
  <we:reference id="wa200002346" version="1.1.0.0" store="en-US" storeType="OMEX"/>
  <we:alternateReferences>
    <we:reference id="WA200002346" version="1.1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DFCA277-D9A0-5649-8A03-3049707ACF2F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CC7B-10F4-D842-83DB-0C5114D085CC}">
  <dimension ref="A3:R28"/>
  <sheetViews>
    <sheetView showGridLines="0" topLeftCell="A5" zoomScale="90" zoomScaleNormal="90" workbookViewId="0">
      <selection activeCell="L19" sqref="L19"/>
    </sheetView>
  </sheetViews>
  <sheetFormatPr baseColWidth="10" defaultRowHeight="16" x14ac:dyDescent="0.2"/>
  <cols>
    <col min="1" max="1" width="11" customWidth="1"/>
    <col min="2" max="2" width="16.5" customWidth="1"/>
    <col min="3" max="3" width="16.6640625" bestFit="1" customWidth="1"/>
    <col min="4" max="5" width="18.6640625" customWidth="1"/>
    <col min="6" max="6" width="13.1640625" customWidth="1"/>
    <col min="7" max="7" width="10.83203125" customWidth="1"/>
    <col min="8" max="8" width="9.33203125" customWidth="1"/>
    <col min="9" max="9" width="19" customWidth="1"/>
    <col min="10" max="10" width="24.83203125" customWidth="1"/>
    <col min="11" max="11" width="46.6640625" customWidth="1"/>
    <col min="12" max="12" width="127" customWidth="1"/>
    <col min="13" max="13" width="86.33203125" customWidth="1"/>
    <col min="14" max="14" width="102.1640625" customWidth="1"/>
    <col min="15" max="15" width="77" customWidth="1"/>
    <col min="16" max="16" width="97" customWidth="1"/>
    <col min="17" max="17" width="40.33203125" customWidth="1"/>
  </cols>
  <sheetData>
    <row r="3" spans="1:18" x14ac:dyDescent="0.2">
      <c r="A3" t="s">
        <v>86</v>
      </c>
      <c r="B3" t="s">
        <v>0</v>
      </c>
      <c r="C3" t="s">
        <v>1</v>
      </c>
      <c r="D3" s="12" t="s">
        <v>201</v>
      </c>
      <c r="E3" s="12" t="s">
        <v>202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87</v>
      </c>
      <c r="L3" t="s">
        <v>88</v>
      </c>
      <c r="M3" t="s">
        <v>102</v>
      </c>
      <c r="N3" t="s">
        <v>113</v>
      </c>
      <c r="O3" t="s">
        <v>205</v>
      </c>
      <c r="P3" t="s">
        <v>206</v>
      </c>
    </row>
    <row r="4" spans="1:18" ht="53" customHeight="1" x14ac:dyDescent="0.2">
      <c r="A4" s="3" t="s">
        <v>61</v>
      </c>
      <c r="B4" s="3" t="s">
        <v>7</v>
      </c>
      <c r="C4" s="3" t="s">
        <v>96</v>
      </c>
      <c r="D4" s="12" t="s">
        <v>8</v>
      </c>
      <c r="E4" s="12" t="s">
        <v>8</v>
      </c>
      <c r="F4" s="3">
        <v>0</v>
      </c>
      <c r="G4" s="3">
        <v>0</v>
      </c>
      <c r="H4" s="3">
        <v>4</v>
      </c>
      <c r="I4" s="3">
        <v>1</v>
      </c>
      <c r="J4" s="3" t="s">
        <v>136</v>
      </c>
      <c r="K4" s="3" t="s">
        <v>36</v>
      </c>
      <c r="L4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"A00001":("A00001", "FW1", "Firewall", " ", "1.0", FALSE, FALSE, 4, TRUE, 10);</v>
      </c>
      <c r="M4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"A00001"-&gt;"DT003":(datetime());</v>
      </c>
      <c r="N4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"A00001"-&gt;"OPS0001":(datetime(),"NA");</v>
      </c>
      <c r="O4" s="3" t="str">
        <f>IFERROR(INSERT7&amp;" "&amp;""""&amp;Assets[[#This Row],[Asset_ID]]&amp;""""&amp;"-&gt;"&amp;""""&amp;INDEX(Segments_List[Segment_ID],MATCH(Assets[[#This Row],[Implements]],Segments_List[Segment_Name],0))&amp;""""&amp;":();","")</f>
        <v>INSERT EDGE IF NOT EXISTS implements() VALUES "A00001"-&gt;"SEG0006":();</v>
      </c>
      <c r="P4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"A00001"-&gt;"SEG0006":();</v>
      </c>
    </row>
    <row r="5" spans="1:18" ht="34" x14ac:dyDescent="0.2">
      <c r="A5" s="3" t="s">
        <v>62</v>
      </c>
      <c r="B5" s="3" t="s">
        <v>9</v>
      </c>
      <c r="C5" s="3" t="s">
        <v>10</v>
      </c>
      <c r="D5" s="12" t="s">
        <v>8</v>
      </c>
      <c r="E5" s="12"/>
      <c r="F5" s="3">
        <v>1</v>
      </c>
      <c r="G5" s="3">
        <v>0</v>
      </c>
      <c r="H5" s="3">
        <v>5</v>
      </c>
      <c r="I5" s="3">
        <v>1</v>
      </c>
      <c r="J5" s="3" t="s">
        <v>136</v>
      </c>
      <c r="K5" s="3" t="s">
        <v>37</v>
      </c>
      <c r="L5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"A00002":("A00002", "VPNSRV", "VPN Server", " ", "1.0", TRUE, FALSE, 5, TRUE, 10);</v>
      </c>
      <c r="M5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"A00002"-&gt;"DT001":(datetime());</v>
      </c>
      <c r="N5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"A00002"-&gt;"OPS0001":(datetime(),"NA");</v>
      </c>
      <c r="O5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5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"A00002"-&gt;"SEG0006":();</v>
      </c>
    </row>
    <row r="6" spans="1:18" ht="34" x14ac:dyDescent="0.2">
      <c r="A6" s="3" t="s">
        <v>63</v>
      </c>
      <c r="B6" s="3" t="s">
        <v>11</v>
      </c>
      <c r="C6" s="3" t="s">
        <v>10</v>
      </c>
      <c r="D6" s="12" t="s">
        <v>8</v>
      </c>
      <c r="E6" s="12"/>
      <c r="F6" s="3">
        <v>1</v>
      </c>
      <c r="G6" s="3">
        <v>0</v>
      </c>
      <c r="H6" s="3">
        <v>5</v>
      </c>
      <c r="I6" s="3">
        <v>1</v>
      </c>
      <c r="J6" s="3" t="s">
        <v>136</v>
      </c>
      <c r="K6" s="3" t="s">
        <v>38</v>
      </c>
      <c r="L6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"A00003":("A00003", "WebSRV1", "Web Server 1", " ", "1.0", TRUE, FALSE, 5, TRUE, 10);</v>
      </c>
      <c r="M6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"A00003"-&gt;"DT001":(datetime());</v>
      </c>
      <c r="N6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"A00003"-&gt;"OPS0001":(datetime(),"NA");</v>
      </c>
      <c r="O6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6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"A00003"-&gt;"SEG0006":();</v>
      </c>
    </row>
    <row r="7" spans="1:18" ht="34" x14ac:dyDescent="0.2">
      <c r="A7" s="3" t="s">
        <v>64</v>
      </c>
      <c r="B7" s="3" t="s">
        <v>12</v>
      </c>
      <c r="C7" s="3" t="s">
        <v>10</v>
      </c>
      <c r="D7" s="12" t="s">
        <v>8</v>
      </c>
      <c r="E7" s="12"/>
      <c r="F7" s="3">
        <v>1</v>
      </c>
      <c r="G7" s="3">
        <v>0</v>
      </c>
      <c r="H7" s="3">
        <v>5</v>
      </c>
      <c r="I7" s="3">
        <v>1</v>
      </c>
      <c r="J7" s="3" t="s">
        <v>60</v>
      </c>
      <c r="K7" s="3" t="s">
        <v>39</v>
      </c>
      <c r="L7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"A00004":("A00004", "WebSRV2", "Web Server 2", " ", "1.0", TRUE, FALSE, 5, TRUE, 10);</v>
      </c>
      <c r="M7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"A00004"-&gt;"DT001":(datetime());</v>
      </c>
      <c r="N7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"A00004"-&gt;"OPS0003":(datetime(),"NA");</v>
      </c>
      <c r="O7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7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"A00004"-&gt;"SEG0006":();</v>
      </c>
    </row>
    <row r="8" spans="1:18" ht="34" x14ac:dyDescent="0.2">
      <c r="A8" s="3" t="s">
        <v>65</v>
      </c>
      <c r="B8" s="3" t="s">
        <v>13</v>
      </c>
      <c r="C8" s="3" t="s">
        <v>96</v>
      </c>
      <c r="D8" s="12" t="s">
        <v>191</v>
      </c>
      <c r="E8" s="12" t="s">
        <v>191</v>
      </c>
      <c r="F8" s="3">
        <v>0</v>
      </c>
      <c r="G8" s="3">
        <v>0</v>
      </c>
      <c r="H8" s="3">
        <v>4</v>
      </c>
      <c r="I8" s="3">
        <v>1</v>
      </c>
      <c r="J8" s="3" t="s">
        <v>136</v>
      </c>
      <c r="K8" s="3" t="s">
        <v>40</v>
      </c>
      <c r="L8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"A00005":("A00005", "FW2", "Firewall protecting LAN in Datacenter", " ", "1.0", FALSE, FALSE, 4, TRUE, 10);</v>
      </c>
      <c r="M8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"A00005"-&gt;"DT003":(datetime());</v>
      </c>
      <c r="N8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"A00005"-&gt;"OPS0001":(datetime(),"NA");</v>
      </c>
      <c r="O8" s="3" t="str">
        <f>IFERROR(INSERT7&amp;" "&amp;""""&amp;Assets[[#This Row],[Asset_ID]]&amp;""""&amp;"-&gt;"&amp;""""&amp;INDEX(Segments_List[Segment_ID],MATCH(Assets[[#This Row],[Implements]],Segments_List[Segment_Name],0))&amp;""""&amp;":();","")</f>
        <v>INSERT EDGE IF NOT EXISTS implements() VALUES "A00005"-&gt;"SEG0002":();</v>
      </c>
      <c r="P8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"A00005"-&gt;"SEG0002":();</v>
      </c>
    </row>
    <row r="9" spans="1:18" ht="34" x14ac:dyDescent="0.2">
      <c r="A9" s="3" t="s">
        <v>66</v>
      </c>
      <c r="B9" s="3" t="s">
        <v>14</v>
      </c>
      <c r="C9" s="3" t="s">
        <v>96</v>
      </c>
      <c r="D9" s="12" t="s">
        <v>191</v>
      </c>
      <c r="E9" s="12" t="s">
        <v>191</v>
      </c>
      <c r="F9" s="3">
        <v>0</v>
      </c>
      <c r="G9" s="3">
        <v>0</v>
      </c>
      <c r="H9" s="3">
        <v>4</v>
      </c>
      <c r="I9" s="3">
        <v>1</v>
      </c>
      <c r="J9" s="3" t="s">
        <v>117</v>
      </c>
      <c r="K9" s="3" t="s">
        <v>41</v>
      </c>
      <c r="L9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"A00006":("A00006", "SW1", "Switch in Datacenter", " ", "1.0", FALSE, FALSE, 4, TRUE, 10);</v>
      </c>
      <c r="M9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"A00006"-&gt;"DT003":(datetime());</v>
      </c>
      <c r="N9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"A00006"-&gt;"OPS0005":(datetime(),"NA");</v>
      </c>
      <c r="O9" s="3" t="str">
        <f>IFERROR(INSERT7&amp;" "&amp;""""&amp;Assets[[#This Row],[Asset_ID]]&amp;""""&amp;"-&gt;"&amp;""""&amp;INDEX(Segments_List[Segment_ID],MATCH(Assets[[#This Row],[Implements]],Segments_List[Segment_Name],0))&amp;""""&amp;":();","")</f>
        <v>INSERT EDGE IF NOT EXISTS implements() VALUES "A00006"-&gt;"SEG0002":();</v>
      </c>
      <c r="P9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"A00006"-&gt;"SEG0002":();</v>
      </c>
    </row>
    <row r="10" spans="1:18" ht="34" x14ac:dyDescent="0.2">
      <c r="A10" s="3" t="s">
        <v>67</v>
      </c>
      <c r="B10" s="3" t="s">
        <v>15</v>
      </c>
      <c r="C10" s="3" t="s">
        <v>10</v>
      </c>
      <c r="D10" s="12" t="s">
        <v>191</v>
      </c>
      <c r="E10" s="12"/>
      <c r="F10" s="3">
        <v>0</v>
      </c>
      <c r="G10" s="3">
        <v>0</v>
      </c>
      <c r="H10" s="3">
        <v>1</v>
      </c>
      <c r="I10" s="3">
        <v>1</v>
      </c>
      <c r="J10" s="3" t="s">
        <v>60</v>
      </c>
      <c r="K10" s="3" t="s">
        <v>42</v>
      </c>
      <c r="L10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"A00007":("A00007", "AD", "Active Directory", " ", "1.0", FALSE, FALSE, 1, TRUE, 10);</v>
      </c>
      <c r="M10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"A00007"-&gt;"DT001":(datetime());</v>
      </c>
      <c r="N10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"A00007"-&gt;"OPS0003":(datetime(),"NA");</v>
      </c>
      <c r="O10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10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"A00007"-&gt;"SEG0002":();</v>
      </c>
    </row>
    <row r="11" spans="1:18" ht="34" x14ac:dyDescent="0.2">
      <c r="A11" s="3" t="s">
        <v>68</v>
      </c>
      <c r="B11" s="3" t="s">
        <v>16</v>
      </c>
      <c r="C11" s="3" t="s">
        <v>10</v>
      </c>
      <c r="D11" s="12" t="s">
        <v>191</v>
      </c>
      <c r="E11" s="12"/>
      <c r="F11" s="3">
        <v>0</v>
      </c>
      <c r="G11" s="3">
        <v>1</v>
      </c>
      <c r="H11" s="3">
        <v>2</v>
      </c>
      <c r="I11" s="3">
        <v>1</v>
      </c>
      <c r="J11" s="3" t="s">
        <v>60</v>
      </c>
      <c r="K11" s="3" t="s">
        <v>43</v>
      </c>
      <c r="L11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"A00008":("A00008", "ERP", "ERP System", " ", "1.0", FALSE, TRUE, 2, TRUE, 10);</v>
      </c>
      <c r="M11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"A00008"-&gt;"DT001":(datetime());</v>
      </c>
      <c r="N11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"A00008"-&gt;"OPS0003":(datetime(),"NA");</v>
      </c>
      <c r="O11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11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"A00008"-&gt;"SEG0002":();</v>
      </c>
    </row>
    <row r="12" spans="1:18" ht="34" x14ac:dyDescent="0.2">
      <c r="A12" s="3" t="s">
        <v>69</v>
      </c>
      <c r="B12" s="3" t="s">
        <v>17</v>
      </c>
      <c r="C12" s="3" t="s">
        <v>10</v>
      </c>
      <c r="D12" s="12" t="s">
        <v>191</v>
      </c>
      <c r="E12" s="12"/>
      <c r="F12" s="3">
        <v>0</v>
      </c>
      <c r="G12" s="3">
        <v>1</v>
      </c>
      <c r="H12" s="3">
        <v>2</v>
      </c>
      <c r="I12" s="3">
        <v>1</v>
      </c>
      <c r="J12" s="3" t="s">
        <v>60</v>
      </c>
      <c r="K12" s="3" t="s">
        <v>44</v>
      </c>
      <c r="L12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"A00009":("A00009", "Banking", "Banking system", " ", "1.0", FALSE, TRUE, 2, TRUE, 10);</v>
      </c>
      <c r="M12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"A00009"-&gt;"DT001":(datetime());</v>
      </c>
      <c r="N12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"A00009"-&gt;"OPS0003":(datetime(),"NA");</v>
      </c>
      <c r="O12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12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"A00009"-&gt;"SEG0002":();</v>
      </c>
      <c r="Q12" s="5"/>
      <c r="R12" s="5"/>
    </row>
    <row r="13" spans="1:18" ht="34" x14ac:dyDescent="0.2">
      <c r="A13" s="3" t="s">
        <v>70</v>
      </c>
      <c r="B13" s="3" t="s">
        <v>18</v>
      </c>
      <c r="C13" s="3" t="s">
        <v>10</v>
      </c>
      <c r="D13" s="12" t="s">
        <v>191</v>
      </c>
      <c r="E13" s="12"/>
      <c r="F13" s="3">
        <v>0</v>
      </c>
      <c r="G13" s="3">
        <v>0</v>
      </c>
      <c r="H13" s="3">
        <v>3</v>
      </c>
      <c r="I13" s="3">
        <v>1</v>
      </c>
      <c r="J13" s="3" t="s">
        <v>60</v>
      </c>
      <c r="K13" s="3" t="s">
        <v>45</v>
      </c>
      <c r="L13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"A00010":("A00010", "Email", "Email server", " ", "1.0", FALSE, FALSE, 3, TRUE, 10);</v>
      </c>
      <c r="M13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"A00010"-&gt;"DT001":(datetime());</v>
      </c>
      <c r="N13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"A00010"-&gt;"OPS0003":(datetime(),"NA");</v>
      </c>
      <c r="O13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13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"A00010"-&gt;"SEG0002":();</v>
      </c>
      <c r="Q13" s="5"/>
      <c r="R13" s="5"/>
    </row>
    <row r="14" spans="1:18" ht="34" x14ac:dyDescent="0.2">
      <c r="A14" s="3" t="s">
        <v>71</v>
      </c>
      <c r="B14" s="3" t="s">
        <v>19</v>
      </c>
      <c r="C14" s="3" t="s">
        <v>10</v>
      </c>
      <c r="D14" s="12" t="s">
        <v>191</v>
      </c>
      <c r="E14" s="12"/>
      <c r="F14" s="3">
        <v>0</v>
      </c>
      <c r="G14" s="3">
        <v>1</v>
      </c>
      <c r="H14" s="3">
        <v>2</v>
      </c>
      <c r="I14" s="3">
        <v>1</v>
      </c>
      <c r="J14" s="3" t="s">
        <v>136</v>
      </c>
      <c r="K14" s="3" t="s">
        <v>46</v>
      </c>
      <c r="L14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"A00011":("A00011", "WMS", "Warehouse Management System", " ", "1.0", FALSE, TRUE, 2, TRUE, 10);</v>
      </c>
      <c r="M14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"A00011"-&gt;"DT001":(datetime());</v>
      </c>
      <c r="N14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"A00011"-&gt;"OPS0001":(datetime(),"NA");</v>
      </c>
      <c r="O14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14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"A00011"-&gt;"SEG0002":();</v>
      </c>
    </row>
    <row r="15" spans="1:18" ht="34" x14ac:dyDescent="0.2">
      <c r="A15" s="3" t="s">
        <v>72</v>
      </c>
      <c r="B15" s="3" t="s">
        <v>20</v>
      </c>
      <c r="C15" s="3" t="s">
        <v>10</v>
      </c>
      <c r="D15" s="12" t="s">
        <v>191</v>
      </c>
      <c r="E15" s="12"/>
      <c r="F15" s="3">
        <v>0</v>
      </c>
      <c r="G15" s="3">
        <v>0</v>
      </c>
      <c r="H15" s="3">
        <v>3</v>
      </c>
      <c r="I15" s="3">
        <v>1</v>
      </c>
      <c r="J15" s="3" t="s">
        <v>60</v>
      </c>
      <c r="K15" s="3" t="s">
        <v>47</v>
      </c>
      <c r="L15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"A00012":("A00012", "CRM", "CRM system", " ", "1.0", FALSE, FALSE, 3, TRUE, 10);</v>
      </c>
      <c r="M15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"A00012"-&gt;"DT001":(datetime());</v>
      </c>
      <c r="N15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"A00012"-&gt;"OPS0003":(datetime(),"NA");</v>
      </c>
      <c r="O15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15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"A00012"-&gt;"SEG0002":();</v>
      </c>
    </row>
    <row r="16" spans="1:18" ht="34" x14ac:dyDescent="0.2">
      <c r="A16" s="3" t="s">
        <v>73</v>
      </c>
      <c r="B16" s="3" t="s">
        <v>21</v>
      </c>
      <c r="C16" s="3" t="s">
        <v>96</v>
      </c>
      <c r="D16" s="12" t="s">
        <v>193</v>
      </c>
      <c r="E16" s="12" t="s">
        <v>193</v>
      </c>
      <c r="F16" s="3">
        <v>1</v>
      </c>
      <c r="G16" s="3">
        <v>0</v>
      </c>
      <c r="H16" s="3">
        <v>4</v>
      </c>
      <c r="I16" s="3">
        <v>1</v>
      </c>
      <c r="J16" s="3" t="s">
        <v>143</v>
      </c>
      <c r="K16" s="3" t="s">
        <v>48</v>
      </c>
      <c r="L16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"A00013":("A00013", "WIFI1", "Wifi acess point in the Office", " ", "1.0", TRUE, FALSE, 4, TRUE, 10);</v>
      </c>
      <c r="M16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"A00013"-&gt;"DT003":(datetime());</v>
      </c>
      <c r="N16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"A00013"-&gt;"OPS0006":(datetime(),"NA");</v>
      </c>
      <c r="O16" s="3" t="str">
        <f>IFERROR(INSERT7&amp;" "&amp;""""&amp;Assets[[#This Row],[Asset_ID]]&amp;""""&amp;"-&gt;"&amp;""""&amp;INDEX(Segments_List[Segment_ID],MATCH(Assets[[#This Row],[Implements]],Segments_List[Segment_Name],0))&amp;""""&amp;":();","")</f>
        <v>INSERT EDGE IF NOT EXISTS implements() VALUES "A00013"-&gt;"SEG0003":();</v>
      </c>
      <c r="P16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"A00013"-&gt;"SEG0003":();</v>
      </c>
    </row>
    <row r="17" spans="1:16" ht="34" x14ac:dyDescent="0.2">
      <c r="A17" s="3" t="s">
        <v>74</v>
      </c>
      <c r="B17" s="3" t="s">
        <v>22</v>
      </c>
      <c r="C17" s="3" t="s">
        <v>23</v>
      </c>
      <c r="D17" s="12" t="s">
        <v>193</v>
      </c>
      <c r="E17" s="12"/>
      <c r="F17" s="3">
        <v>1</v>
      </c>
      <c r="G17" s="3">
        <v>0</v>
      </c>
      <c r="H17" s="3">
        <v>7</v>
      </c>
      <c r="I17" s="3">
        <v>1</v>
      </c>
      <c r="J17" s="3" t="s">
        <v>137</v>
      </c>
      <c r="K17" s="3" t="s">
        <v>49</v>
      </c>
      <c r="L17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"A00014":("A00014", "WS1", "Accounting Workstation in the office", " ", "1.0", TRUE, FALSE, 7, TRUE, 10);</v>
      </c>
      <c r="M17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"A00014"-&gt;"DT002":(datetime());</v>
      </c>
      <c r="N17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"A00014"-&gt;"OPS0004":(datetime(),"NA");</v>
      </c>
      <c r="O17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17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"A00014"-&gt;"SEG0003":();</v>
      </c>
    </row>
    <row r="18" spans="1:16" ht="34" x14ac:dyDescent="0.2">
      <c r="A18" s="3" t="s">
        <v>75</v>
      </c>
      <c r="B18" s="3" t="s">
        <v>24</v>
      </c>
      <c r="C18" s="3" t="s">
        <v>96</v>
      </c>
      <c r="D18" s="12" t="s">
        <v>190</v>
      </c>
      <c r="E18" s="12" t="s">
        <v>190</v>
      </c>
      <c r="F18" s="3">
        <v>0</v>
      </c>
      <c r="G18" s="3">
        <v>0</v>
      </c>
      <c r="H18" s="3">
        <v>4</v>
      </c>
      <c r="I18" s="3">
        <v>1</v>
      </c>
      <c r="J18" s="3" t="s">
        <v>136</v>
      </c>
      <c r="K18" s="3" t="s">
        <v>50</v>
      </c>
      <c r="L18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"A00015":("A00015", "FW3", "Firewall protecting LAN in the Office", " ", "1.0", FALSE, FALSE, 4, TRUE, 10);</v>
      </c>
      <c r="M18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"A00015"-&gt;"DT003":(datetime());</v>
      </c>
      <c r="N18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"A00015"-&gt;"OPS0001":(datetime(),"NA");</v>
      </c>
      <c r="O18" s="3" t="str">
        <f>IFERROR(INSERT7&amp;" "&amp;""""&amp;Assets[[#This Row],[Asset_ID]]&amp;""""&amp;"-&gt;"&amp;""""&amp;INDEX(Segments_List[Segment_ID],MATCH(Assets[[#This Row],[Implements]],Segments_List[Segment_Name],0))&amp;""""&amp;":();","")</f>
        <v>INSERT EDGE IF NOT EXISTS implements() VALUES "A00015"-&gt;"SEG0004":();</v>
      </c>
      <c r="P18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"A00015"-&gt;"SEG0004":();</v>
      </c>
    </row>
    <row r="19" spans="1:16" ht="34" x14ac:dyDescent="0.2">
      <c r="A19" s="3" t="s">
        <v>76</v>
      </c>
      <c r="B19" s="3" t="s">
        <v>25</v>
      </c>
      <c r="C19" s="3" t="s">
        <v>96</v>
      </c>
      <c r="D19" s="12" t="s">
        <v>190</v>
      </c>
      <c r="E19" s="12" t="s">
        <v>190</v>
      </c>
      <c r="F19" s="3">
        <v>0</v>
      </c>
      <c r="G19" s="3">
        <v>0</v>
      </c>
      <c r="H19" s="3">
        <v>4</v>
      </c>
      <c r="I19" s="3">
        <v>1</v>
      </c>
      <c r="J19" s="3" t="s">
        <v>117</v>
      </c>
      <c r="K19" s="3" t="s">
        <v>51</v>
      </c>
      <c r="L19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"A00016":("A00016", "SW2", "Switch in the Office", " ", "1.0", FALSE, FALSE, 4, TRUE, 10);</v>
      </c>
      <c r="M19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"A00016"-&gt;"DT003":(datetime());</v>
      </c>
      <c r="N19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"A00016"-&gt;"OPS0005":(datetime(),"NA");</v>
      </c>
      <c r="O19" s="3" t="str">
        <f>IFERROR(INSERT7&amp;" "&amp;""""&amp;Assets[[#This Row],[Asset_ID]]&amp;""""&amp;"-&gt;"&amp;""""&amp;INDEX(Segments_List[Segment_ID],MATCH(Assets[[#This Row],[Implements]],Segments_List[Segment_Name],0))&amp;""""&amp;":();","")</f>
        <v>INSERT EDGE IF NOT EXISTS implements() VALUES "A00016"-&gt;"SEG0004":();</v>
      </c>
      <c r="P19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"A00016"-&gt;"SEG0004":();</v>
      </c>
    </row>
    <row r="20" spans="1:16" ht="34" x14ac:dyDescent="0.2">
      <c r="A20" s="3" t="s">
        <v>77</v>
      </c>
      <c r="B20" s="3" t="s">
        <v>26</v>
      </c>
      <c r="C20" s="3" t="s">
        <v>23</v>
      </c>
      <c r="D20" s="12" t="s">
        <v>190</v>
      </c>
      <c r="E20" s="12"/>
      <c r="F20" s="3">
        <v>1</v>
      </c>
      <c r="G20" s="3">
        <v>0</v>
      </c>
      <c r="H20" s="3">
        <v>7</v>
      </c>
      <c r="I20" s="3">
        <v>1</v>
      </c>
      <c r="J20" s="3" t="s">
        <v>137</v>
      </c>
      <c r="K20" s="3" t="s">
        <v>52</v>
      </c>
      <c r="L20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"A00017":("A00017", "WS2", "warehouse manager workstation in the office", " ", "1.0", TRUE, FALSE, 7, TRUE, 10);</v>
      </c>
      <c r="M20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"A00017"-&gt;"DT002":(datetime());</v>
      </c>
      <c r="N20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"A00017"-&gt;"OPS0004":(datetime(),"NA");</v>
      </c>
      <c r="O20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20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"A00017"-&gt;"SEG0004":();</v>
      </c>
    </row>
    <row r="21" spans="1:16" ht="34" x14ac:dyDescent="0.2">
      <c r="A21" s="3" t="s">
        <v>78</v>
      </c>
      <c r="B21" s="3" t="s">
        <v>27</v>
      </c>
      <c r="C21" s="3" t="s">
        <v>23</v>
      </c>
      <c r="D21" s="12" t="s">
        <v>190</v>
      </c>
      <c r="E21" s="12"/>
      <c r="F21" s="3">
        <v>1</v>
      </c>
      <c r="G21" s="3">
        <v>0</v>
      </c>
      <c r="H21" s="3">
        <v>6</v>
      </c>
      <c r="I21" s="3">
        <v>1</v>
      </c>
      <c r="J21" s="3" t="s">
        <v>140</v>
      </c>
      <c r="K21" s="3" t="s">
        <v>53</v>
      </c>
      <c r="L21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"A00018":("A00018", "WS3", "Sales workstation in the office", " ", "1.0", TRUE, FALSE, 6, TRUE, 10);</v>
      </c>
      <c r="M21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"A00018"-&gt;"DT002":(datetime());</v>
      </c>
      <c r="N21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"A00018"-&gt;"OPS0002":(datetime(),"NA");</v>
      </c>
      <c r="O21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21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"A00018"-&gt;"SEG0004":();</v>
      </c>
    </row>
    <row r="22" spans="1:16" ht="34" x14ac:dyDescent="0.2">
      <c r="A22" s="3" t="s">
        <v>79</v>
      </c>
      <c r="B22" s="3" t="s">
        <v>28</v>
      </c>
      <c r="C22" s="3" t="s">
        <v>23</v>
      </c>
      <c r="D22" s="12" t="s">
        <v>190</v>
      </c>
      <c r="E22" s="12"/>
      <c r="F22" s="3">
        <v>0</v>
      </c>
      <c r="G22" s="3">
        <v>0</v>
      </c>
      <c r="H22" s="3">
        <v>6</v>
      </c>
      <c r="I22" s="3">
        <v>1</v>
      </c>
      <c r="J22" s="3" t="s">
        <v>140</v>
      </c>
      <c r="K22" s="3" t="s">
        <v>59</v>
      </c>
      <c r="L22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"A00019":("A00019", "WS4", "SMM manager workstation in the office", " ", "1.0", FALSE, FALSE, 6, TRUE, 10);</v>
      </c>
      <c r="M22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"A00019"-&gt;"DT002":(datetime());</v>
      </c>
      <c r="N22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"A00019"-&gt;"OPS0002":(datetime(),"NA");</v>
      </c>
      <c r="O22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22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"A00019"-&gt;"SEG0004":();</v>
      </c>
    </row>
    <row r="23" spans="1:16" ht="34" x14ac:dyDescent="0.2">
      <c r="A23" s="3" t="s">
        <v>80</v>
      </c>
      <c r="B23" s="3" t="s">
        <v>29</v>
      </c>
      <c r="C23" s="3" t="s">
        <v>96</v>
      </c>
      <c r="D23" s="12" t="s">
        <v>192</v>
      </c>
      <c r="E23" s="12" t="s">
        <v>192</v>
      </c>
      <c r="F23" s="3">
        <v>0</v>
      </c>
      <c r="G23" s="3">
        <v>0</v>
      </c>
      <c r="H23" s="3">
        <v>4</v>
      </c>
      <c r="I23" s="3">
        <v>1</v>
      </c>
      <c r="J23" s="3" t="s">
        <v>136</v>
      </c>
      <c r="K23" s="3" t="s">
        <v>56</v>
      </c>
      <c r="L23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"A00020":("A00020", "FW4", "Firewall protecting Wifi in the warehouse", " ", "1.0", FALSE, FALSE, 4, TRUE, 10);</v>
      </c>
      <c r="M23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"A00020"-&gt;"DT003":(datetime());</v>
      </c>
      <c r="N23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"A00020"-&gt;"OPS0001":(datetime(),"NA");</v>
      </c>
      <c r="O23" s="3" t="str">
        <f>IFERROR(INSERT7&amp;" "&amp;""""&amp;Assets[[#This Row],[Asset_ID]]&amp;""""&amp;"-&gt;"&amp;""""&amp;INDEX(Segments_List[Segment_ID],MATCH(Assets[[#This Row],[Implements]],Segments_List[Segment_Name],0))&amp;""""&amp;":();","")</f>
        <v>INSERT EDGE IF NOT EXISTS implements() VALUES "A00020"-&gt;"SEG0005":();</v>
      </c>
      <c r="P23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"A00020"-&gt;"SEG0005":();</v>
      </c>
    </row>
    <row r="24" spans="1:16" ht="34" x14ac:dyDescent="0.2">
      <c r="A24" s="3" t="s">
        <v>81</v>
      </c>
      <c r="B24" s="3" t="s">
        <v>30</v>
      </c>
      <c r="C24" s="3" t="s">
        <v>96</v>
      </c>
      <c r="D24" s="12" t="s">
        <v>192</v>
      </c>
      <c r="E24" s="12" t="s">
        <v>192</v>
      </c>
      <c r="F24" s="3">
        <v>1</v>
      </c>
      <c r="G24" s="3">
        <v>0</v>
      </c>
      <c r="H24" s="3">
        <v>4</v>
      </c>
      <c r="I24" s="3">
        <v>1</v>
      </c>
      <c r="J24" s="3" t="s">
        <v>136</v>
      </c>
      <c r="K24" s="3" t="s">
        <v>58</v>
      </c>
      <c r="L24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"A00021":("A00021", "WIFI2", "Wifi acess point in the warehouse", " ", "1.0", TRUE, FALSE, 4, TRUE, 10);</v>
      </c>
      <c r="M24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"A00021"-&gt;"DT003":(datetime());</v>
      </c>
      <c r="N24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"A00021"-&gt;"OPS0001":(datetime(),"NA");</v>
      </c>
      <c r="O24" s="3" t="str">
        <f>IFERROR(INSERT7&amp;" "&amp;""""&amp;Assets[[#This Row],[Asset_ID]]&amp;""""&amp;"-&gt;"&amp;""""&amp;INDEX(Segments_List[Segment_ID],MATCH(Assets[[#This Row],[Implements]],Segments_List[Segment_Name],0))&amp;""""&amp;":();","")</f>
        <v>INSERT EDGE IF NOT EXISTS implements() VALUES "A00021"-&gt;"SEG0005":();</v>
      </c>
      <c r="P24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"A00021"-&gt;"SEG0005":();</v>
      </c>
    </row>
    <row r="25" spans="1:16" ht="34" x14ac:dyDescent="0.2">
      <c r="A25" s="3" t="s">
        <v>82</v>
      </c>
      <c r="B25" s="3" t="s">
        <v>31</v>
      </c>
      <c r="C25" s="3" t="s">
        <v>23</v>
      </c>
      <c r="D25" s="12" t="s">
        <v>192</v>
      </c>
      <c r="E25" s="12"/>
      <c r="F25" s="3">
        <v>0</v>
      </c>
      <c r="G25" s="3">
        <v>0</v>
      </c>
      <c r="H25" s="3">
        <v>6</v>
      </c>
      <c r="I25" s="3">
        <v>1</v>
      </c>
      <c r="J25" s="3" t="s">
        <v>143</v>
      </c>
      <c r="K25" s="3" t="s">
        <v>57</v>
      </c>
      <c r="L25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"A00022":("A00022", "WS5", "Forklift onboard computer in the warehouse", " ", "1.0", FALSE, FALSE, 6, TRUE, 10);</v>
      </c>
      <c r="M25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"A00022"-&gt;"DT002":(datetime());</v>
      </c>
      <c r="N25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"A00022"-&gt;"OPS0006":(datetime(),"NA");</v>
      </c>
      <c r="O25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25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"A00022"-&gt;"SEG0005":();</v>
      </c>
    </row>
    <row r="26" spans="1:16" ht="34" x14ac:dyDescent="0.2">
      <c r="A26" s="3" t="s">
        <v>83</v>
      </c>
      <c r="B26" s="3" t="s">
        <v>32</v>
      </c>
      <c r="C26" s="3" t="s">
        <v>23</v>
      </c>
      <c r="D26" s="12" t="s">
        <v>192</v>
      </c>
      <c r="E26" s="12"/>
      <c r="F26" s="3">
        <v>0</v>
      </c>
      <c r="G26" s="3">
        <v>1</v>
      </c>
      <c r="H26" s="3">
        <v>2</v>
      </c>
      <c r="I26" s="3">
        <v>1</v>
      </c>
      <c r="J26" s="3" t="s">
        <v>140</v>
      </c>
      <c r="K26" s="3" t="s">
        <v>55</v>
      </c>
      <c r="L26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"A00023":("A00023", "WS6", "Warehouse worker workstation", " ", "1.0", FALSE, TRUE, 2, TRUE, 10);</v>
      </c>
      <c r="M26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"A00023"-&gt;"DT002":(datetime());</v>
      </c>
      <c r="N26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"A00023"-&gt;"OPS0002":(datetime(),"NA");</v>
      </c>
      <c r="O26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26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"A00023"-&gt;"SEG0005":();</v>
      </c>
    </row>
    <row r="27" spans="1:16" ht="34" x14ac:dyDescent="0.2">
      <c r="A27" s="3" t="s">
        <v>84</v>
      </c>
      <c r="B27" s="3" t="s">
        <v>33</v>
      </c>
      <c r="C27" s="3" t="s">
        <v>23</v>
      </c>
      <c r="D27" s="12" t="s">
        <v>34</v>
      </c>
      <c r="E27" s="12"/>
      <c r="F27" s="3">
        <v>1</v>
      </c>
      <c r="G27" s="3">
        <v>0</v>
      </c>
      <c r="H27" s="3">
        <v>7</v>
      </c>
      <c r="I27" s="3">
        <v>1</v>
      </c>
      <c r="J27" s="3" t="s">
        <v>137</v>
      </c>
      <c r="K27" s="3" t="s">
        <v>54</v>
      </c>
      <c r="L27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"A00024":("A00024", "WS7", "Remote workstation (remote worker)", " ", "1.0", TRUE, FALSE, 7, TRUE, 10);</v>
      </c>
      <c r="M27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"A00024"-&gt;"DT002":(datetime());</v>
      </c>
      <c r="N27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"A00024"-&gt;"OPS0004":(datetime(),"NA");</v>
      </c>
      <c r="O27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27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"A00024"-&gt;"SEG0001":();</v>
      </c>
    </row>
    <row r="28" spans="1:16" ht="34" x14ac:dyDescent="0.2">
      <c r="A28" s="3" t="s">
        <v>85</v>
      </c>
      <c r="B28" s="3" t="s">
        <v>35</v>
      </c>
      <c r="C28" s="3" t="s">
        <v>23</v>
      </c>
      <c r="D28" s="12" t="s">
        <v>34</v>
      </c>
      <c r="E28" s="12"/>
      <c r="F28" s="3">
        <v>1</v>
      </c>
      <c r="G28" s="3">
        <v>0</v>
      </c>
      <c r="H28" s="3">
        <v>7</v>
      </c>
      <c r="I28" s="3">
        <v>1</v>
      </c>
      <c r="J28" s="3" t="s">
        <v>137</v>
      </c>
      <c r="K28" s="3" t="s">
        <v>54</v>
      </c>
      <c r="L28" s="4" t="str">
        <f>INSERT1&amp;" "&amp;""""&amp;Assets[[#This Row],[Asset_ID]]&amp;""""&amp;":("&amp;""""&amp;Assets[[#This Row],[Asset_ID]]&amp;""""&amp;", "&amp;""""&amp;Assets[[#This Row],[name]]&amp;""""&amp;", "&amp;""""&amp;Assets[[#This Row],[Note]]&amp;""""&amp;", "&amp;""""&amp;" "&amp;""""&amp;", "&amp;""""&amp;"1.0"&amp;""""&amp;", "&amp;TEXT(IF(Assets[[#This Row],[is_entrance]]&lt;&gt;0,TRUE,FALSE),"")&amp;", "&amp;TEXT(IF(Assets[[#This Row],[is_target]]&lt;&gt;0,TRUE, FALSE),"")&amp;", "&amp;TEXT(Assets[[#This Row],[priority]],"0")&amp;", "&amp;TEXT(IF(Assets[[#This Row],[has_vulnerabilities]]=1,TRUE,FALSE), "")&amp;", 10);"</f>
        <v>INSERT VERTEX Asset(Asset_ID, Asset_Name, Asset_Description,  Asset_Note, Asset_Version, is_entrance, is_target, priority, has_vulnerability, TTB) VALUES "A00025":("A00025", "WS8", "Remote workstation (remote worker)", " ", "1.0", TRUE, FALSE, 7, TRUE, 10);</v>
      </c>
      <c r="M28" s="3" t="str">
        <f>INSERT2&amp;" "&amp;""""&amp;Assets[[#This Row],[Asset_ID]]&amp;""""&amp;"-&gt;"&amp;""""&amp;INDEX(AssetTypes[Type_ID],MATCH(Assets[[#This Row],[type]],AssetTypes[Type_Name],0))&amp;""""&amp;":(datetime());"</f>
        <v>INSERT EDGE IF NOT EXISTS has_type(assigned_date) VALUES "A00025"-&gt;"DT002":(datetime());</v>
      </c>
      <c r="N28" s="3" t="str">
        <f>INSERT5&amp;" "&amp;""""&amp;Assets[[#This Row],[Asset_ID]]&amp;""""&amp;"-&gt;"&amp;""""&amp;INDEX(OS_Types[OS_ID],MATCH(Assets[[#This Row],[os_type]],OS_Types[OS_Name],0))&amp;""""&amp;":(datetime(),"&amp;""""&amp;"NA"&amp;""""&amp;");"</f>
        <v>INSERT EDGE IF NOT EXISTS runs_on(installation_date, license_key) VALUES "A00025"-&gt;"OPS0004":(datetime(),"NA");</v>
      </c>
      <c r="O28" s="3" t="str">
        <f>IFERROR(INSERT7&amp;" "&amp;""""&amp;Assets[[#This Row],[Asset_ID]]&amp;""""&amp;"-&gt;"&amp;""""&amp;INDEX(Segments_List[Segment_ID],MATCH(Assets[[#This Row],[Implements]],Segments_List[Segment_Name],0))&amp;""""&amp;":();","")</f>
        <v/>
      </c>
      <c r="P28" s="3" t="str">
        <f>IFERROR(INSERT8&amp;" "&amp;""""&amp;Assets[[#This Row],[Asset_ID]]&amp;""""&amp;"-&gt;"&amp;""""&amp;INDEX(Segments_List[Segment_ID],MATCH(Assets[[#This Row],[Belongs_To]],Segments_List[Segment_Name],0))&amp;""""&amp;":();","")</f>
        <v>INSERT EDGE IF NOT EXISTS belongs_to() VALUES "A00025"-&gt;"SEG0001":();</v>
      </c>
    </row>
  </sheetData>
  <phoneticPr fontId="1" type="noConversion"/>
  <dataValidations count="3">
    <dataValidation type="list" allowBlank="1" showInputMessage="1" showErrorMessage="1" sqref="C4:C28" xr:uid="{C8E99086-EE83-6F49-B68C-E66C17DFF173}">
      <formula1>INDIRECT("AssetTypes[Type_Name]")</formula1>
    </dataValidation>
    <dataValidation type="list" allowBlank="1" showInputMessage="1" showErrorMessage="1" sqref="J4:J28" xr:uid="{AB4AA3B0-D07F-B94C-8E4A-1743C208AE62}">
      <formula1>INDIRECT("OS_Types[OS_Name]")</formula1>
    </dataValidation>
    <dataValidation type="list" allowBlank="1" showInputMessage="1" showErrorMessage="1" sqref="D4:E28" xr:uid="{6027EE95-5668-2740-8568-3AF6C29DBF8F}">
      <formula1>INDIRECT("Segments_List[Segment_Name]")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F59F-4E43-D64E-B445-C1409D5CC9C8}">
  <dimension ref="C5:J30"/>
  <sheetViews>
    <sheetView zoomScale="110" zoomScaleNormal="110" workbookViewId="0">
      <selection activeCell="E18" sqref="E18"/>
    </sheetView>
  </sheetViews>
  <sheetFormatPr baseColWidth="10" defaultRowHeight="16" x14ac:dyDescent="0.2"/>
  <cols>
    <col min="3" max="3" width="15.33203125" customWidth="1"/>
    <col min="4" max="4" width="17.33203125" bestFit="1" customWidth="1"/>
    <col min="5" max="5" width="25.1640625" customWidth="1"/>
    <col min="6" max="6" width="24.6640625" customWidth="1"/>
    <col min="7" max="7" width="129" customWidth="1"/>
    <col min="8" max="8" width="50.5" customWidth="1"/>
    <col min="9" max="9" width="31" customWidth="1"/>
    <col min="10" max="10" width="102.33203125" customWidth="1"/>
  </cols>
  <sheetData>
    <row r="5" spans="3:10" x14ac:dyDescent="0.2">
      <c r="C5" s="8" t="s">
        <v>120</v>
      </c>
      <c r="D5" s="8" t="s">
        <v>121</v>
      </c>
      <c r="E5" s="8" t="s">
        <v>122</v>
      </c>
      <c r="F5" s="8" t="s">
        <v>129</v>
      </c>
      <c r="G5" s="8" t="s">
        <v>109</v>
      </c>
      <c r="H5" s="8" t="s">
        <v>345</v>
      </c>
      <c r="I5" s="8" t="s">
        <v>346</v>
      </c>
      <c r="J5" s="8" t="s">
        <v>347</v>
      </c>
    </row>
    <row r="6" spans="3:10" x14ac:dyDescent="0.2">
      <c r="C6" s="9" t="s">
        <v>130</v>
      </c>
      <c r="D6" s="9" t="s">
        <v>136</v>
      </c>
      <c r="E6" s="9">
        <v>22.4</v>
      </c>
      <c r="F6" s="9" t="s">
        <v>135</v>
      </c>
      <c r="G6" s="10" t="str">
        <f>INSERT4&amp;" "&amp;""""&amp;OS_Types[[#This Row],[OS_ID]]&amp;""""&amp;":"&amp;"("&amp;""""&amp;OS_Types[[#This Row],[OS_ID]]&amp;""""&amp;", "&amp;""""&amp;OS_Types[[#This Row],[OS_Name]]&amp;""""&amp;", "&amp;""""&amp;OS_Types[[#This Row],[OS_Version]]&amp;""""&amp;", "&amp;""""&amp;OS_Types[[#This Row],[OS_Vendor]]&amp;""""&amp;");"</f>
        <v>INSERT VERTEX OS_Type(OS_ID, OS_Name, OS_Version, OS_Vendor) VALUES "OPS0001":("OPS0001", "Ubuntu Server", "22.4", "Ubuntu");</v>
      </c>
      <c r="H6" s="8" t="s">
        <v>338</v>
      </c>
      <c r="I6" s="8" t="str">
        <f>INDEX(Platforms[platform_id], MATCH(OS_Types[[#This Row],[MITRE Platform Type]],Platforms[platform_name],0))</f>
        <v>PLTF005</v>
      </c>
      <c r="J6" s="8" t="str">
        <f>INSERT12&amp;" "&amp;""""&amp;OS_Types[[#This Row],[OS_ID]]&amp;""""&amp;"-&gt;"&amp;""""&amp;OS_Types[[#This Row],[MITRE_PLATFORM ID]]&amp;""""&amp;"@0: ();"</f>
        <v>INSERT EDGE IF NOT EXISTS represents () VALUES "OPS0001"-&gt;"PLTF005"@0: ();</v>
      </c>
    </row>
    <row r="7" spans="3:10" x14ac:dyDescent="0.2">
      <c r="C7" s="9" t="s">
        <v>131</v>
      </c>
      <c r="D7" s="9" t="s">
        <v>140</v>
      </c>
      <c r="E7" s="9">
        <v>5.6</v>
      </c>
      <c r="F7" s="9" t="s">
        <v>139</v>
      </c>
      <c r="G7" s="10" t="str">
        <f>INSERT4&amp;" "&amp;""""&amp;OS_Types[[#This Row],[OS_ID]]&amp;""""&amp;":"&amp;"("&amp;""""&amp;OS_Types[[#This Row],[OS_ID]]&amp;""""&amp;", "&amp;""""&amp;OS_Types[[#This Row],[OS_Name]]&amp;""""&amp;", "&amp;""""&amp;OS_Types[[#This Row],[OS_Version]]&amp;""""&amp;", "&amp;""""&amp;OS_Types[[#This Row],[OS_Vendor]]&amp;""""&amp;");"</f>
        <v>INSERT VERTEX OS_Type(OS_ID, OS_Name, OS_Version, OS_Vendor) VALUES "OPS0002":("OPS0002", "ROSA desktop", "5.6", "ROSA");</v>
      </c>
      <c r="H7" s="8" t="s">
        <v>338</v>
      </c>
      <c r="I7" s="8" t="str">
        <f>INDEX(Platforms[platform_id], MATCH(OS_Types[[#This Row],[MITRE Platform Type]],Platforms[platform_name],0))</f>
        <v>PLTF005</v>
      </c>
      <c r="J7" s="8" t="str">
        <f>INSERT12&amp;" "&amp;""""&amp;OS_Types[[#This Row],[OS_ID]]&amp;""""&amp;"-&gt;"&amp;""""&amp;OS_Types[[#This Row],[MITRE_PLATFORM ID]]&amp;""""&amp;"@0: ();"</f>
        <v>INSERT EDGE IF NOT EXISTS represents () VALUES "OPS0002"-&gt;"PLTF005"@0: ();</v>
      </c>
    </row>
    <row r="8" spans="3:10" x14ac:dyDescent="0.2">
      <c r="C8" s="9" t="s">
        <v>132</v>
      </c>
      <c r="D8" s="9" t="s">
        <v>60</v>
      </c>
      <c r="E8" s="9">
        <v>2022</v>
      </c>
      <c r="F8" s="9" t="s">
        <v>116</v>
      </c>
      <c r="G8" s="10" t="str">
        <f>INSERT4&amp;" "&amp;""""&amp;OS_Types[[#This Row],[OS_ID]]&amp;""""&amp;":"&amp;"("&amp;""""&amp;OS_Types[[#This Row],[OS_ID]]&amp;""""&amp;", "&amp;""""&amp;OS_Types[[#This Row],[OS_Name]]&amp;""""&amp;", "&amp;""""&amp;OS_Types[[#This Row],[OS_Version]]&amp;""""&amp;", "&amp;""""&amp;OS_Types[[#This Row],[OS_Vendor]]&amp;""""&amp;");"</f>
        <v>INSERT VERTEX OS_Type(OS_ID, OS_Name, OS_Version, OS_Vendor) VALUES "OPS0003":("OPS0003", "Windows Server", "2022", "Microsoft");</v>
      </c>
      <c r="H8" s="8" t="s">
        <v>137</v>
      </c>
      <c r="I8" s="8" t="str">
        <f>INDEX(Platforms[platform_id], MATCH(OS_Types[[#This Row],[MITRE Platform Type]],Platforms[platform_name],0))</f>
        <v>PLTF010</v>
      </c>
      <c r="J8" s="8" t="str">
        <f>INSERT12&amp;" "&amp;""""&amp;OS_Types[[#This Row],[OS_ID]]&amp;""""&amp;"-&gt;"&amp;""""&amp;OS_Types[[#This Row],[MITRE_PLATFORM ID]]&amp;""""&amp;"@0: ();"</f>
        <v>INSERT EDGE IF NOT EXISTS represents () VALUES "OPS0003"-&gt;"PLTF010"@0: ();</v>
      </c>
    </row>
    <row r="9" spans="3:10" x14ac:dyDescent="0.2">
      <c r="C9" s="9" t="s">
        <v>133</v>
      </c>
      <c r="D9" s="9" t="s">
        <v>137</v>
      </c>
      <c r="E9" s="9">
        <v>11.145</v>
      </c>
      <c r="F9" s="9" t="s">
        <v>116</v>
      </c>
      <c r="G9" s="10" t="str">
        <f>INSERT4&amp;" "&amp;""""&amp;OS_Types[[#This Row],[OS_ID]]&amp;""""&amp;":"&amp;"("&amp;""""&amp;OS_Types[[#This Row],[OS_ID]]&amp;""""&amp;", "&amp;""""&amp;OS_Types[[#This Row],[OS_Name]]&amp;""""&amp;", "&amp;""""&amp;OS_Types[[#This Row],[OS_Version]]&amp;""""&amp;", "&amp;""""&amp;OS_Types[[#This Row],[OS_Vendor]]&amp;""""&amp;");"</f>
        <v>INSERT VERTEX OS_Type(OS_ID, OS_Name, OS_Version, OS_Vendor) VALUES "OPS0004":("OPS0004", "Windows", "11.145", "Microsoft");</v>
      </c>
      <c r="H9" s="8" t="s">
        <v>137</v>
      </c>
      <c r="I9" s="8" t="str">
        <f>INDEX(Platforms[platform_id], MATCH(OS_Types[[#This Row],[MITRE Platform Type]],Platforms[platform_name],0))</f>
        <v>PLTF010</v>
      </c>
      <c r="J9" s="8" t="str">
        <f>INSERT12&amp;" "&amp;""""&amp;OS_Types[[#This Row],[OS_ID]]&amp;""""&amp;"-&gt;"&amp;""""&amp;OS_Types[[#This Row],[MITRE_PLATFORM ID]]&amp;""""&amp;"@0: ();"</f>
        <v>INSERT EDGE IF NOT EXISTS represents () VALUES "OPS0004"-&gt;"PLTF010"@0: ();</v>
      </c>
    </row>
    <row r="10" spans="3:10" x14ac:dyDescent="0.2">
      <c r="C10" s="9" t="s">
        <v>134</v>
      </c>
      <c r="D10" s="9" t="s">
        <v>117</v>
      </c>
      <c r="E10" s="9" t="s">
        <v>118</v>
      </c>
      <c r="F10" s="9" t="s">
        <v>119</v>
      </c>
      <c r="G10" s="10" t="str">
        <f>INSERT4&amp;" "&amp;""""&amp;OS_Types[[#This Row],[OS_ID]]&amp;""""&amp;":"&amp;"("&amp;""""&amp;OS_Types[[#This Row],[OS_ID]]&amp;""""&amp;", "&amp;""""&amp;OS_Types[[#This Row],[OS_Name]]&amp;""""&amp;", "&amp;""""&amp;OS_Types[[#This Row],[OS_Version]]&amp;""""&amp;", "&amp;""""&amp;OS_Types[[#This Row],[OS_Vendor]]&amp;""""&amp;");"</f>
        <v>INSERT VERTEX OS_Type(OS_ID, OS_Name, OS_Version, OS_Vendor) VALUES "OPS0005":("OPS0005", "Cisco OS", "IOS", "Cisco");</v>
      </c>
      <c r="H10" s="8" t="s">
        <v>339</v>
      </c>
      <c r="I10" s="8" t="str">
        <f>INDEX(Platforms[platform_id], MATCH(OS_Types[[#This Row],[MITRE Platform Type]],Platforms[platform_name],0))</f>
        <v>PLTF006</v>
      </c>
      <c r="J10" s="8" t="str">
        <f>INSERT12&amp;" "&amp;""""&amp;OS_Types[[#This Row],[OS_ID]]&amp;""""&amp;"-&gt;"&amp;""""&amp;OS_Types[[#This Row],[MITRE_PLATFORM ID]]&amp;""""&amp;"@0: ();"</f>
        <v>INSERT EDGE IF NOT EXISTS represents () VALUES "OPS0005"-&gt;"PLTF006"@0: ();</v>
      </c>
    </row>
    <row r="11" spans="3:10" x14ac:dyDescent="0.2">
      <c r="C11" s="9" t="s">
        <v>138</v>
      </c>
      <c r="D11" s="9" t="s">
        <v>143</v>
      </c>
      <c r="E11" s="9" t="s">
        <v>114</v>
      </c>
      <c r="F11" s="9" t="s">
        <v>115</v>
      </c>
      <c r="G11" s="10" t="str">
        <f>INSERT4&amp;" "&amp;""""&amp;OS_Types[[#This Row],[OS_ID]]&amp;""""&amp;":"&amp;"("&amp;""""&amp;OS_Types[[#This Row],[OS_ID]]&amp;""""&amp;", "&amp;""""&amp;OS_Types[[#This Row],[OS_Name]]&amp;""""&amp;", "&amp;""""&amp;OS_Types[[#This Row],[OS_Version]]&amp;""""&amp;", "&amp;""""&amp;OS_Types[[#This Row],[OS_Vendor]]&amp;""""&amp;");"</f>
        <v>INSERT VERTEX OS_Type(OS_ID, OS_Name, OS_Version, OS_Vendor) VALUES "OPS0006":("OPS0006", "IoT", "Generic", "Various");</v>
      </c>
      <c r="H11" s="8" t="s">
        <v>339</v>
      </c>
      <c r="I11" s="8" t="str">
        <f>INDEX(Platforms[platform_id], MATCH(OS_Types[[#This Row],[MITRE Platform Type]],Platforms[platform_name],0))</f>
        <v>PLTF006</v>
      </c>
      <c r="J11" s="8" t="str">
        <f>INSERT12&amp;" "&amp;""""&amp;OS_Types[[#This Row],[OS_ID]]&amp;""""&amp;"-&gt;"&amp;""""&amp;OS_Types[[#This Row],[MITRE_PLATFORM ID]]&amp;""""&amp;"@0: ();"</f>
        <v>INSERT EDGE IF NOT EXISTS represents () VALUES "OPS0006"-&gt;"PLTF006"@0: ();</v>
      </c>
    </row>
    <row r="21" spans="5:8" x14ac:dyDescent="0.2">
      <c r="G21" t="str" cm="1">
        <f t="array" ref="G21:G26">OS_Types[OS_Name]</f>
        <v>Ubuntu Server</v>
      </c>
    </row>
    <row r="22" spans="5:8" x14ac:dyDescent="0.2">
      <c r="G22" t="str">
        <v>ROSA desktop</v>
      </c>
    </row>
    <row r="23" spans="5:8" x14ac:dyDescent="0.2">
      <c r="G23" t="str">
        <v>Windows Server</v>
      </c>
    </row>
    <row r="24" spans="5:8" x14ac:dyDescent="0.2">
      <c r="G24" t="str">
        <v>Windows</v>
      </c>
    </row>
    <row r="25" spans="5:8" x14ac:dyDescent="0.2">
      <c r="G25" t="str">
        <v>Cisco OS</v>
      </c>
    </row>
    <row r="26" spans="5:8" x14ac:dyDescent="0.2">
      <c r="G26" t="str">
        <v>IoT</v>
      </c>
    </row>
    <row r="29" spans="5:8" ht="18" x14ac:dyDescent="0.2">
      <c r="E29" s="5" t="s">
        <v>123</v>
      </c>
      <c r="F29" s="5" t="s">
        <v>124</v>
      </c>
      <c r="G29" s="5"/>
      <c r="H29" s="5"/>
    </row>
    <row r="30" spans="5:8" ht="18" x14ac:dyDescent="0.2">
      <c r="E30" s="5" t="s">
        <v>125</v>
      </c>
      <c r="F30" s="5" t="s">
        <v>126</v>
      </c>
    </row>
  </sheetData>
  <phoneticPr fontId="1" type="noConversion"/>
  <dataValidations count="1">
    <dataValidation type="list" allowBlank="1" showInputMessage="1" showErrorMessage="1" sqref="H6:H11" xr:uid="{7646D5BD-3145-9545-BD3D-1D590750B711}">
      <formula1>INDIRECT("Platforms[platform_name]")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4C6C-1994-244C-BDE8-BDC1C4DED390}">
  <dimension ref="B4:F15"/>
  <sheetViews>
    <sheetView tabSelected="1" workbookViewId="0">
      <selection activeCell="C14" sqref="C14"/>
    </sheetView>
  </sheetViews>
  <sheetFormatPr baseColWidth="10" defaultRowHeight="16" x14ac:dyDescent="0.2"/>
  <cols>
    <col min="2" max="2" width="14" customWidth="1"/>
    <col min="3" max="3" width="23.83203125" customWidth="1"/>
    <col min="4" max="4" width="26.83203125" customWidth="1"/>
    <col min="5" max="5" width="57.1640625" customWidth="1"/>
    <col min="6" max="6" width="169" customWidth="1"/>
  </cols>
  <sheetData>
    <row r="4" spans="2:6" x14ac:dyDescent="0.2">
      <c r="B4" t="s">
        <v>310</v>
      </c>
      <c r="C4" t="s">
        <v>311</v>
      </c>
      <c r="D4" t="s">
        <v>312</v>
      </c>
      <c r="E4" t="s">
        <v>313</v>
      </c>
      <c r="F4" t="s">
        <v>109</v>
      </c>
    </row>
    <row r="5" spans="2:6" x14ac:dyDescent="0.2">
      <c r="B5" t="s">
        <v>314</v>
      </c>
      <c r="C5" t="s">
        <v>334</v>
      </c>
      <c r="D5" t="s">
        <v>325</v>
      </c>
      <c r="F5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"PLTF001":("PLTF001", "Containers", "Docker and such", "");</v>
      </c>
    </row>
    <row r="6" spans="2:6" x14ac:dyDescent="0.2">
      <c r="B6" t="s">
        <v>315</v>
      </c>
      <c r="C6" t="s">
        <v>335</v>
      </c>
      <c r="E6" t="s">
        <v>331</v>
      </c>
      <c r="F6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"PLTF002":("PLTF002", "ESXi", "", "What about other virtualisation? Let us leave it like this for a moment.");</v>
      </c>
    </row>
    <row r="7" spans="2:6" x14ac:dyDescent="0.2">
      <c r="B7" t="s">
        <v>316</v>
      </c>
      <c r="C7" t="s">
        <v>336</v>
      </c>
      <c r="D7" t="s">
        <v>326</v>
      </c>
      <c r="F7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"PLTF003":("PLTF003", "IaaS", "Infrastructure as a service", "");</v>
      </c>
    </row>
    <row r="8" spans="2:6" x14ac:dyDescent="0.2">
      <c r="B8" t="s">
        <v>317</v>
      </c>
      <c r="C8" t="s">
        <v>337</v>
      </c>
      <c r="F8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"PLTF004":("PLTF004", "Identity Provider", "", "");</v>
      </c>
    </row>
    <row r="9" spans="2:6" x14ac:dyDescent="0.2">
      <c r="B9" t="s">
        <v>318</v>
      </c>
      <c r="C9" t="s">
        <v>338</v>
      </c>
      <c r="D9" t="s">
        <v>332</v>
      </c>
      <c r="F9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"PLTF005":("PLTF005", "Linux", "Any flavour, any version", "");</v>
      </c>
    </row>
    <row r="10" spans="2:6" x14ac:dyDescent="0.2">
      <c r="B10" t="s">
        <v>319</v>
      </c>
      <c r="C10" t="s">
        <v>339</v>
      </c>
      <c r="D10" t="s">
        <v>327</v>
      </c>
      <c r="F10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"PLTF006":("PLTF006", "Network Devices", "Cisco IOS, Huwaei OS, etc.", "");</v>
      </c>
    </row>
    <row r="11" spans="2:6" x14ac:dyDescent="0.2">
      <c r="B11" t="s">
        <v>320</v>
      </c>
      <c r="C11" t="s">
        <v>340</v>
      </c>
      <c r="F11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"PLTF007":("PLTF007", "Office Suite", "", "");</v>
      </c>
    </row>
    <row r="12" spans="2:6" x14ac:dyDescent="0.2">
      <c r="B12" t="s">
        <v>321</v>
      </c>
      <c r="C12" t="s">
        <v>341</v>
      </c>
      <c r="F12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"PLTF008":("PLTF008", "PRE", "", "");</v>
      </c>
    </row>
    <row r="13" spans="2:6" x14ac:dyDescent="0.2">
      <c r="B13" t="s">
        <v>322</v>
      </c>
      <c r="C13" t="s">
        <v>342</v>
      </c>
      <c r="F13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"PLTF009":("PLTF009", "SaaS", "", "");</v>
      </c>
    </row>
    <row r="14" spans="2:6" x14ac:dyDescent="0.2">
      <c r="B14" t="s">
        <v>323</v>
      </c>
      <c r="C14" t="s">
        <v>137</v>
      </c>
      <c r="D14" t="s">
        <v>328</v>
      </c>
      <c r="F14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"PLTF010":("PLTF010", "Windows", "Any version of Windows, Serevr or desktop", "");</v>
      </c>
    </row>
    <row r="15" spans="2:6" x14ac:dyDescent="0.2">
      <c r="B15" t="s">
        <v>324</v>
      </c>
      <c r="C15" t="s">
        <v>343</v>
      </c>
      <c r="D15" t="s">
        <v>329</v>
      </c>
      <c r="E15" t="s">
        <v>330</v>
      </c>
      <c r="F15" t="str">
        <f>INSERT11&amp;" "&amp;""""&amp;Platforms[[#This Row],[platform_id]]&amp;""""&amp;":("&amp;""""&amp;Platforms[[#This Row],[platform_id]]&amp;""""&amp;", "&amp;""""&amp;Platforms[[#This Row],[platform_name]]&amp;""""&amp;", "&amp;""""&amp;Platforms[[#This Row],[platform_description]]&amp;""""&amp;", "&amp;""""&amp;Platforms[[#This Row],[comment]]&amp;""""&amp;");"</f>
        <v>INSERT VERTEX MitrePlatform(platform_id, platform_name, platform_description, comment) VALUES "PLTF011":("PLTF011", "macOS", "Any version of MacOS", "New versions, no Power stuff.");</v>
      </c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CF52-C3B5-6C4B-A33C-76E03B13389C}">
  <dimension ref="B4:H25"/>
  <sheetViews>
    <sheetView topLeftCell="A2" workbookViewId="0">
      <selection activeCell="C25" sqref="C25"/>
    </sheetView>
  </sheetViews>
  <sheetFormatPr baseColWidth="10" defaultRowHeight="16" x14ac:dyDescent="0.2"/>
  <cols>
    <col min="2" max="2" width="57.33203125" customWidth="1"/>
    <col min="3" max="3" width="109" customWidth="1"/>
  </cols>
  <sheetData>
    <row r="4" spans="2:8" ht="40" customHeight="1" x14ac:dyDescent="0.2">
      <c r="B4" s="1" t="s">
        <v>89</v>
      </c>
      <c r="C4" s="2" t="s">
        <v>90</v>
      </c>
    </row>
    <row r="5" spans="2:8" x14ac:dyDescent="0.2">
      <c r="B5" t="s">
        <v>103</v>
      </c>
      <c r="C5" t="s">
        <v>112</v>
      </c>
    </row>
    <row r="7" spans="2:8" x14ac:dyDescent="0.2">
      <c r="B7" t="s">
        <v>110</v>
      </c>
      <c r="C7" t="s">
        <v>111</v>
      </c>
    </row>
    <row r="9" spans="2:8" ht="18" x14ac:dyDescent="0.2">
      <c r="B9" t="s">
        <v>127</v>
      </c>
      <c r="C9" t="s">
        <v>128</v>
      </c>
      <c r="H9" s="5"/>
    </row>
    <row r="10" spans="2:8" ht="18" x14ac:dyDescent="0.2">
      <c r="H10" s="5"/>
    </row>
    <row r="11" spans="2:8" x14ac:dyDescent="0.2">
      <c r="B11" t="s">
        <v>141</v>
      </c>
      <c r="C11" t="s">
        <v>142</v>
      </c>
    </row>
    <row r="13" spans="2:8" x14ac:dyDescent="0.2">
      <c r="B13" t="s">
        <v>199</v>
      </c>
      <c r="C13" t="s">
        <v>200</v>
      </c>
    </row>
    <row r="15" spans="2:8" x14ac:dyDescent="0.2">
      <c r="B15" t="s">
        <v>203</v>
      </c>
      <c r="C15" t="s">
        <v>204</v>
      </c>
    </row>
    <row r="17" spans="2:3" x14ac:dyDescent="0.2">
      <c r="B17" t="s">
        <v>207</v>
      </c>
      <c r="C17" t="s">
        <v>208</v>
      </c>
    </row>
    <row r="19" spans="2:3" x14ac:dyDescent="0.2">
      <c r="B19" t="s">
        <v>214</v>
      </c>
      <c r="C19" t="s">
        <v>215</v>
      </c>
    </row>
    <row r="21" spans="2:3" x14ac:dyDescent="0.2">
      <c r="B21" t="s">
        <v>262</v>
      </c>
      <c r="C21" t="s">
        <v>263</v>
      </c>
    </row>
    <row r="23" spans="2:3" x14ac:dyDescent="0.2">
      <c r="B23" t="s">
        <v>333</v>
      </c>
      <c r="C23" t="s">
        <v>344</v>
      </c>
    </row>
    <row r="25" spans="2:3" x14ac:dyDescent="0.2">
      <c r="B25" t="s">
        <v>348</v>
      </c>
      <c r="C25" t="s">
        <v>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6DC5-093C-894F-8535-74D7E8F2940A}">
  <dimension ref="B6:E21"/>
  <sheetViews>
    <sheetView workbookViewId="0">
      <selection activeCell="C21" sqref="C21"/>
    </sheetView>
  </sheetViews>
  <sheetFormatPr baseColWidth="10" defaultRowHeight="16" x14ac:dyDescent="0.2"/>
  <cols>
    <col min="2" max="2" width="18" customWidth="1"/>
    <col min="3" max="3" width="24.6640625" customWidth="1"/>
    <col min="4" max="4" width="40.83203125" customWidth="1"/>
    <col min="5" max="5" width="202.1640625" customWidth="1"/>
  </cols>
  <sheetData>
    <row r="6" spans="2:5" ht="19" x14ac:dyDescent="0.25">
      <c r="B6" s="6" t="s">
        <v>91</v>
      </c>
      <c r="C6" s="6" t="s">
        <v>92</v>
      </c>
      <c r="D6" s="6" t="s">
        <v>93</v>
      </c>
      <c r="E6" s="6" t="s">
        <v>109</v>
      </c>
    </row>
    <row r="7" spans="2:5" ht="19" x14ac:dyDescent="0.25">
      <c r="B7" s="7" t="s">
        <v>104</v>
      </c>
      <c r="C7" s="7" t="s">
        <v>10</v>
      </c>
      <c r="D7" s="7" t="s">
        <v>94</v>
      </c>
      <c r="E7" s="7" t="str">
        <f>INSERT3&amp;" "&amp;""""&amp;AssetTypes[[#This Row],[Type_ID]]&amp;""""&amp;":("&amp;""""&amp;AssetTypes[[#This Row],[Type_ID]]&amp;""""&amp;", "&amp;""""&amp;AssetTypes[[#This Row],[Type_Name]]&amp;""""&amp;", "&amp;""""&amp;AssetTypes[[#This Row],[description]]&amp;""""&amp;");"</f>
        <v>INSERT VERTEX Asset_Type(Type_ID,Type_Name, Type_Description) VALUES "DT001":("DT001", "Server", "Physical or virtual server");</v>
      </c>
    </row>
    <row r="8" spans="2:5" ht="19" x14ac:dyDescent="0.25">
      <c r="B8" s="7" t="s">
        <v>105</v>
      </c>
      <c r="C8" s="7" t="s">
        <v>23</v>
      </c>
      <c r="D8" s="7" t="s">
        <v>95</v>
      </c>
      <c r="E8" s="7" t="str">
        <f>INSERT3&amp;" "&amp;""""&amp;AssetTypes[[#This Row],[Type_ID]]&amp;""""&amp;":("&amp;""""&amp;AssetTypes[[#This Row],[Type_ID]]&amp;""""&amp;", "&amp;""""&amp;AssetTypes[[#This Row],[Type_Name]]&amp;""""&amp;", "&amp;""""&amp;AssetTypes[[#This Row],[description]]&amp;""""&amp;");"</f>
        <v>INSERT VERTEX Asset_Type(Type_ID,Type_Name, Type_Description) VALUES "DT002":("DT002", "Workstation", "End-user desktop/laptop");</v>
      </c>
    </row>
    <row r="9" spans="2:5" ht="19" x14ac:dyDescent="0.25">
      <c r="B9" s="7" t="s">
        <v>106</v>
      </c>
      <c r="C9" s="7" t="s">
        <v>96</v>
      </c>
      <c r="D9" s="7" t="s">
        <v>97</v>
      </c>
      <c r="E9" s="7" t="str">
        <f>INSERT3&amp;" "&amp;""""&amp;AssetTypes[[#This Row],[Type_ID]]&amp;""""&amp;":("&amp;""""&amp;AssetTypes[[#This Row],[Type_ID]]&amp;""""&amp;", "&amp;""""&amp;AssetTypes[[#This Row],[Type_Name]]&amp;""""&amp;", "&amp;""""&amp;AssetTypes[[#This Row],[description]]&amp;""""&amp;");"</f>
        <v>INSERT VERTEX Asset_Type(Type_ID,Type_Name, Type_Description) VALUES "DT003":("DT003", "Network Device", "Router, switch, firewall");</v>
      </c>
    </row>
    <row r="10" spans="2:5" ht="19" x14ac:dyDescent="0.25">
      <c r="B10" s="7" t="s">
        <v>107</v>
      </c>
      <c r="C10" s="7" t="s">
        <v>98</v>
      </c>
      <c r="D10" s="7" t="s">
        <v>99</v>
      </c>
      <c r="E10" s="7" t="str">
        <f>INSERT3&amp;" "&amp;""""&amp;AssetTypes[[#This Row],[Type_ID]]&amp;""""&amp;":("&amp;""""&amp;AssetTypes[[#This Row],[Type_ID]]&amp;""""&amp;", "&amp;""""&amp;AssetTypes[[#This Row],[Type_Name]]&amp;""""&amp;", "&amp;""""&amp;AssetTypes[[#This Row],[description]]&amp;""""&amp;");"</f>
        <v>INSERT VERTEX Asset_Type(Type_ID,Type_Name, Type_Description) VALUES "DT004":("DT004", "Mobile Device", "Smartphone or tablet");</v>
      </c>
    </row>
    <row r="11" spans="2:5" ht="19" x14ac:dyDescent="0.25">
      <c r="B11" s="7" t="s">
        <v>108</v>
      </c>
      <c r="C11" s="7" t="s">
        <v>100</v>
      </c>
      <c r="D11" s="7" t="s">
        <v>101</v>
      </c>
      <c r="E11" s="7" t="str">
        <f>INSERT3&amp;" "&amp;""""&amp;AssetTypes[[#This Row],[Type_ID]]&amp;""""&amp;":("&amp;""""&amp;AssetTypes[[#This Row],[Type_ID]]&amp;""""&amp;", "&amp;""""&amp;AssetTypes[[#This Row],[Type_Name]]&amp;""""&amp;", "&amp;""""&amp;AssetTypes[[#This Row],[description]]&amp;""""&amp;");"</f>
        <v>INSERT VERTEX Asset_Type(Type_ID,Type_Name, Type_Description) VALUES "DT005":("DT005", "IoT Device", "Internet of Things device");</v>
      </c>
    </row>
    <row r="20" spans="3:3" x14ac:dyDescent="0.2">
      <c r="C20" s="16"/>
    </row>
    <row r="21" spans="3:3" x14ac:dyDescent="0.2">
      <c r="C21" s="17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B741-8A3A-8341-AEE5-150DBC88E34B}">
  <dimension ref="B5:G25"/>
  <sheetViews>
    <sheetView topLeftCell="A3" workbookViewId="0">
      <selection activeCell="G11" sqref="G11"/>
    </sheetView>
  </sheetViews>
  <sheetFormatPr baseColWidth="10" defaultRowHeight="16" x14ac:dyDescent="0.2"/>
  <cols>
    <col min="2" max="2" width="18" customWidth="1"/>
    <col min="3" max="3" width="29.83203125" customWidth="1"/>
    <col min="4" max="4" width="46.6640625" customWidth="1"/>
    <col min="5" max="5" width="25.5" customWidth="1"/>
    <col min="6" max="6" width="20.33203125" customWidth="1"/>
    <col min="7" max="7" width="230.33203125" customWidth="1"/>
  </cols>
  <sheetData>
    <row r="5" spans="2:7" x14ac:dyDescent="0.2">
      <c r="B5" t="s">
        <v>180</v>
      </c>
      <c r="C5" t="s">
        <v>181</v>
      </c>
      <c r="D5" t="s">
        <v>182</v>
      </c>
      <c r="E5" t="s">
        <v>196</v>
      </c>
      <c r="F5" t="s">
        <v>197</v>
      </c>
      <c r="G5" t="s">
        <v>109</v>
      </c>
    </row>
    <row r="6" spans="2:7" x14ac:dyDescent="0.2">
      <c r="B6" t="s">
        <v>183</v>
      </c>
      <c r="C6" t="s">
        <v>34</v>
      </c>
      <c r="D6" t="s">
        <v>184</v>
      </c>
      <c r="E6" s="11" t="s">
        <v>198</v>
      </c>
      <c r="G6" t="str">
        <f>INSERT6&amp;""""&amp;Segments_List[[#This Row],[Segment_ID]]&amp;""""&amp;":("&amp;""""&amp;Segments_List[[#This Row],[Segment_ID]]&amp;""""&amp;", "&amp;""""&amp;Segments_List[[#This Row],[Segment_Name]]&amp;""""&amp;", "&amp;""""&amp;Segments_List[[#This Row],[Segment_Description]]&amp;""""&amp;", "&amp;""""&amp;Segments_List[[#This Row],[Segment_Version]]&amp;""""&amp;", date());"</f>
        <v>INSERT vertex Network_Segment(Segment_ID,Segment_Name,Segment_Description,Segment_Version, Segment_Date) VALUES "SEG0001":("SEG0001", "Inet", "Internet, outside the perimeter", "1.0", date());</v>
      </c>
    </row>
    <row r="7" spans="2:7" x14ac:dyDescent="0.2">
      <c r="B7" t="s">
        <v>185</v>
      </c>
      <c r="C7" t="s">
        <v>191</v>
      </c>
      <c r="D7" t="s">
        <v>194</v>
      </c>
      <c r="E7" s="11" t="s">
        <v>198</v>
      </c>
      <c r="G7" t="str">
        <f>INSERT6&amp;""""&amp;Segments_List[[#This Row],[Segment_ID]]&amp;""""&amp;":("&amp;""""&amp;Segments_List[[#This Row],[Segment_ID]]&amp;""""&amp;", "&amp;""""&amp;Segments_List[[#This Row],[Segment_Name]]&amp;""""&amp;", "&amp;""""&amp;Segments_List[[#This Row],[Segment_Description]]&amp;""""&amp;", "&amp;""""&amp;Segments_List[[#This Row],[Segment_Version]]&amp;""""&amp;", date());"</f>
        <v>INSERT vertex Network_Segment(Segment_ID,Segment_Name,Segment_Description,Segment_Version, Segment_Date) VALUES "SEG0002":("SEG0002", "DC Lan", "Datacenter LAN", "1.0", date());</v>
      </c>
    </row>
    <row r="8" spans="2:7" x14ac:dyDescent="0.2">
      <c r="B8" t="s">
        <v>186</v>
      </c>
      <c r="C8" t="s">
        <v>193</v>
      </c>
      <c r="D8" t="s">
        <v>193</v>
      </c>
      <c r="E8" s="11" t="s">
        <v>198</v>
      </c>
      <c r="G8" t="str">
        <f>INSERT6&amp;""""&amp;Segments_List[[#This Row],[Segment_ID]]&amp;""""&amp;":("&amp;""""&amp;Segments_List[[#This Row],[Segment_ID]]&amp;""""&amp;", "&amp;""""&amp;Segments_List[[#This Row],[Segment_Name]]&amp;""""&amp;", "&amp;""""&amp;Segments_List[[#This Row],[Segment_Description]]&amp;""""&amp;", "&amp;""""&amp;Segments_List[[#This Row],[Segment_Version]]&amp;""""&amp;", date());"</f>
        <v>INSERT vertex Network_Segment(Segment_ID,Segment_Name,Segment_Description,Segment_Version, Segment_Date) VALUES "SEG0003":("SEG0003", "Office WiFi", "Office WiFi", "1.0", date());</v>
      </c>
    </row>
    <row r="9" spans="2:7" x14ac:dyDescent="0.2">
      <c r="B9" t="s">
        <v>187</v>
      </c>
      <c r="C9" t="s">
        <v>190</v>
      </c>
      <c r="D9" t="s">
        <v>190</v>
      </c>
      <c r="E9" s="11" t="s">
        <v>198</v>
      </c>
      <c r="G9" t="str">
        <f>INSERT6&amp;""""&amp;Segments_List[[#This Row],[Segment_ID]]&amp;""""&amp;":("&amp;""""&amp;Segments_List[[#This Row],[Segment_ID]]&amp;""""&amp;", "&amp;""""&amp;Segments_List[[#This Row],[Segment_Name]]&amp;""""&amp;", "&amp;""""&amp;Segments_List[[#This Row],[Segment_Description]]&amp;""""&amp;", "&amp;""""&amp;Segments_List[[#This Row],[Segment_Version]]&amp;""""&amp;", date());"</f>
        <v>INSERT vertex Network_Segment(Segment_ID,Segment_Name,Segment_Description,Segment_Version, Segment_Date) VALUES "SEG0004":("SEG0004", "Office LAN", "Office LAN", "1.0", date());</v>
      </c>
    </row>
    <row r="10" spans="2:7" x14ac:dyDescent="0.2">
      <c r="B10" t="s">
        <v>188</v>
      </c>
      <c r="C10" t="s">
        <v>192</v>
      </c>
      <c r="D10" t="s">
        <v>195</v>
      </c>
      <c r="E10" s="11" t="s">
        <v>198</v>
      </c>
      <c r="G10" t="str">
        <f>INSERT6&amp;""""&amp;Segments_List[[#This Row],[Segment_ID]]&amp;""""&amp;":("&amp;""""&amp;Segments_List[[#This Row],[Segment_ID]]&amp;""""&amp;", "&amp;""""&amp;Segments_List[[#This Row],[Segment_Name]]&amp;""""&amp;", "&amp;""""&amp;Segments_List[[#This Row],[Segment_Description]]&amp;""""&amp;", "&amp;""""&amp;Segments_List[[#This Row],[Segment_Version]]&amp;""""&amp;", date());"</f>
        <v>INSERT vertex Network_Segment(Segment_ID,Segment_Name,Segment_Description,Segment_Version, Segment_Date) VALUES "SEG0005":("SEG0005", "Warehouse WiFi", "Warehouse Wifi", "1.0", date());</v>
      </c>
    </row>
    <row r="11" spans="2:7" x14ac:dyDescent="0.2">
      <c r="B11" t="s">
        <v>189</v>
      </c>
      <c r="C11" t="s">
        <v>8</v>
      </c>
      <c r="D11" t="s">
        <v>8</v>
      </c>
      <c r="E11" s="11" t="s">
        <v>198</v>
      </c>
      <c r="G11" t="str">
        <f>INSERT6&amp;""""&amp;Segments_List[[#This Row],[Segment_ID]]&amp;""""&amp;":("&amp;""""&amp;Segments_List[[#This Row],[Segment_ID]]&amp;""""&amp;", "&amp;""""&amp;Segments_List[[#This Row],[Segment_Name]]&amp;""""&amp;", "&amp;""""&amp;Segments_List[[#This Row],[Segment_Description]]&amp;""""&amp;", "&amp;""""&amp;Segments_List[[#This Row],[Segment_Version]]&amp;""""&amp;", date());"</f>
        <v>INSERT vertex Network_Segment(Segment_ID,Segment_Name,Segment_Description,Segment_Version, Segment_Date) VALUES "SEG0006":("SEG0006", "DMZ", "DMZ", "1.0", date());</v>
      </c>
    </row>
    <row r="20" spans="4:4" x14ac:dyDescent="0.2">
      <c r="D20" t="str" cm="1">
        <f t="array" ref="D20:D25">Segments_List[Segment_Name]</f>
        <v>Inet</v>
      </c>
    </row>
    <row r="21" spans="4:4" x14ac:dyDescent="0.2">
      <c r="D21" t="str">
        <v>DC Lan</v>
      </c>
    </row>
    <row r="22" spans="4:4" x14ac:dyDescent="0.2">
      <c r="D22" t="str">
        <v>Office WiFi</v>
      </c>
    </row>
    <row r="23" spans="4:4" x14ac:dyDescent="0.2">
      <c r="D23" t="str">
        <v>Office LAN</v>
      </c>
    </row>
    <row r="24" spans="4:4" x14ac:dyDescent="0.2">
      <c r="D24" t="str">
        <v>Warehouse WiFi</v>
      </c>
    </row>
    <row r="25" spans="4:4" x14ac:dyDescent="0.2">
      <c r="D25" t="str">
        <v>DMZ</v>
      </c>
    </row>
  </sheetData>
  <phoneticPr fontId="1" type="noConversion"/>
  <pageMargins left="0.7" right="0.7" top="0.75" bottom="0.75" header="0.3" footer="0.3"/>
  <pageSetup paperSize="9" orientation="portrait" horizontalDpi="0" verticalDpi="0"/>
  <ignoredErrors>
    <ignoredError sqref="E6:E11" numberStoredAsText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169A-3C9C-9E4B-9553-599C9BB6DBBD}">
  <dimension ref="A1:Z605"/>
  <sheetViews>
    <sheetView topLeftCell="A569" workbookViewId="0">
      <selection activeCell="J582" sqref="J582"/>
    </sheetView>
  </sheetViews>
  <sheetFormatPr baseColWidth="10" defaultRowHeight="16" x14ac:dyDescent="0.2"/>
  <cols>
    <col min="1" max="1" width="20.5" bestFit="1" customWidth="1"/>
    <col min="2" max="2" width="20.5" customWidth="1"/>
    <col min="3" max="3" width="22.5" customWidth="1"/>
    <col min="4" max="6" width="28" customWidth="1"/>
    <col min="7" max="7" width="21" customWidth="1"/>
    <col min="8" max="8" width="20.83203125" customWidth="1"/>
    <col min="9" max="9" width="17.5" customWidth="1"/>
    <col min="10" max="10" width="131.5" customWidth="1"/>
    <col min="11" max="11" width="25" customWidth="1"/>
    <col min="24" max="24" width="46.1640625" customWidth="1"/>
  </cols>
  <sheetData>
    <row r="1" spans="1:26" x14ac:dyDescent="0.2">
      <c r="A1" s="3" t="s">
        <v>179</v>
      </c>
      <c r="B1" s="3" t="s">
        <v>211</v>
      </c>
      <c r="C1" s="3" t="s">
        <v>209</v>
      </c>
      <c r="D1" s="3" t="s">
        <v>178</v>
      </c>
      <c r="E1" s="3" t="s">
        <v>210</v>
      </c>
      <c r="F1" s="3" t="s">
        <v>217</v>
      </c>
      <c r="G1" s="3" t="s">
        <v>177</v>
      </c>
      <c r="H1" s="3" t="s">
        <v>176</v>
      </c>
      <c r="I1" s="3" t="s">
        <v>175</v>
      </c>
      <c r="J1" s="3" t="s">
        <v>308</v>
      </c>
      <c r="K1" s="3" t="s">
        <v>216</v>
      </c>
      <c r="L1" s="3" t="s">
        <v>309</v>
      </c>
    </row>
    <row r="2" spans="1:26" x14ac:dyDescent="0.2">
      <c r="A2" s="3" t="s">
        <v>171</v>
      </c>
      <c r="B2" s="3" t="str">
        <f xml:space="preserve"> SUBSTITUTE(RIGHT(SUBSTITUTE(Network_Connections[[#This Row],[from]],"_",REPT("*",10)),10),"*","")</f>
        <v>FW1</v>
      </c>
      <c r="C2" s="3" t="str">
        <f>INDEX(Assets[Asset_ID],MATCH(Network_Connections[[#This Row],[From1]],Assets[name],0))</f>
        <v>A00001</v>
      </c>
      <c r="D2" s="3" t="s">
        <v>170</v>
      </c>
      <c r="E2" s="3" t="str">
        <f xml:space="preserve"> SUBSTITUTE(RIGHT(SUBSTITUTE(Network_Connections[[#This Row],[to]],"_",REPT("*",10)),10),"*","")</f>
        <v>VPNSRV</v>
      </c>
      <c r="F2" s="3" t="str">
        <f>INDEX(Assets[Asset_ID],MATCH(Network_Connections[[#This Row],[From2]],Assets[name],0))</f>
        <v>A00002</v>
      </c>
      <c r="G2" s="3" t="s">
        <v>145</v>
      </c>
      <c r="H2" s="3" t="s">
        <v>144</v>
      </c>
      <c r="I2" s="3">
        <v>1</v>
      </c>
      <c r="J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"A00001"-&gt;"A00002"@00:("IP", "0-65535");</v>
      </c>
      <c r="K2" s="3" t="str">
        <f>RIGHT(Network_Connections[[#This Row],[port/protocol]],LEN(Network_Connections[[#This Row],[port/protocol]])-FIND("/",Network_Connections[[#This Row],[port/protocol]]))</f>
        <v>0-65535</v>
      </c>
      <c r="L2" s="3">
        <f t="shared" ref="L2:L65" si="0">IF(AND(C2=C1, F2=F1), L1+1, 0)</f>
        <v>0</v>
      </c>
    </row>
    <row r="3" spans="1:26" x14ac:dyDescent="0.2">
      <c r="A3" s="3" t="s">
        <v>171</v>
      </c>
      <c r="B3" s="3" t="str">
        <f xml:space="preserve"> SUBSTITUTE(RIGHT(SUBSTITUTE(Network_Connections[[#This Row],[from]],"_",REPT("*",10)),10),"*","")</f>
        <v>FW1</v>
      </c>
      <c r="C3" s="3" t="str">
        <f>INDEX(Assets[Asset_ID],MATCH(Network_Connections[[#This Row],[From1]],Assets[name],0))</f>
        <v>A00001</v>
      </c>
      <c r="D3" s="3" t="s">
        <v>169</v>
      </c>
      <c r="E3" s="3" t="str">
        <f xml:space="preserve"> SUBSTITUTE(RIGHT(SUBSTITUTE(Network_Connections[[#This Row],[to]],"_",REPT("*",10)),10),"*","")</f>
        <v>WebSRV1</v>
      </c>
      <c r="F3" s="3" t="str">
        <f>INDEX(Assets[Asset_ID],MATCH(Network_Connections[[#This Row],[From2]],Assets[name],0))</f>
        <v>A00003</v>
      </c>
      <c r="G3" s="3" t="s">
        <v>145</v>
      </c>
      <c r="H3" s="3" t="s">
        <v>144</v>
      </c>
      <c r="I3" s="3">
        <v>1</v>
      </c>
      <c r="J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"A00001"-&gt;"A00003"@00:("IP", "0-65535");</v>
      </c>
      <c r="K3" s="3" t="str">
        <f>RIGHT(Network_Connections[[#This Row],[port/protocol]],LEN(Network_Connections[[#This Row],[port/protocol]])-FIND("/",Network_Connections[[#This Row],[port/protocol]]))</f>
        <v>0-65535</v>
      </c>
      <c r="L3" s="3">
        <f t="shared" si="0"/>
        <v>0</v>
      </c>
    </row>
    <row r="4" spans="1:26" x14ac:dyDescent="0.2">
      <c r="A4" s="3" t="s">
        <v>171</v>
      </c>
      <c r="B4" s="3" t="str">
        <f xml:space="preserve"> SUBSTITUTE(RIGHT(SUBSTITUTE(Network_Connections[[#This Row],[from]],"_",REPT("*",10)),10),"*","")</f>
        <v>FW1</v>
      </c>
      <c r="C4" s="3" t="str">
        <f>INDEX(Assets[Asset_ID],MATCH(Network_Connections[[#This Row],[From1]],Assets[name],0))</f>
        <v>A00001</v>
      </c>
      <c r="D4" s="3" t="s">
        <v>168</v>
      </c>
      <c r="E4" s="3" t="str">
        <f xml:space="preserve"> SUBSTITUTE(RIGHT(SUBSTITUTE(Network_Connections[[#This Row],[to]],"_",REPT("*",10)),10),"*","")</f>
        <v>WebSRV2</v>
      </c>
      <c r="F4" s="3" t="str">
        <f>INDEX(Assets[Asset_ID],MATCH(Network_Connections[[#This Row],[From2]],Assets[name],0))</f>
        <v>A00004</v>
      </c>
      <c r="G4" s="3" t="s">
        <v>145</v>
      </c>
      <c r="H4" s="3" t="s">
        <v>144</v>
      </c>
      <c r="I4" s="3">
        <v>1</v>
      </c>
      <c r="J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"A00001"-&gt;"A00004"@00:("IP", "0-65535");</v>
      </c>
      <c r="K4" s="3" t="str">
        <f>RIGHT(Network_Connections[[#This Row],[port/protocol]],LEN(Network_Connections[[#This Row],[port/protocol]])-FIND("/",Network_Connections[[#This Row],[port/protocol]]))</f>
        <v>0-65535</v>
      </c>
      <c r="L4" s="3">
        <f t="shared" si="0"/>
        <v>0</v>
      </c>
      <c r="Z4" t="str">
        <f xml:space="preserve"> RIGHT(S4,FIND(TRIM(RIGHT(SUBSTITUTE(S4,"_",REPT(" ",100)),100)),S4)-1)</f>
        <v/>
      </c>
    </row>
    <row r="5" spans="1:26" x14ac:dyDescent="0.2">
      <c r="A5" s="3" t="s">
        <v>171</v>
      </c>
      <c r="B5" s="3" t="str">
        <f xml:space="preserve"> SUBSTITUTE(RIGHT(SUBSTITUTE(Network_Connections[[#This Row],[from]],"_",REPT("*",10)),10),"*","")</f>
        <v>FW1</v>
      </c>
      <c r="C5" s="3" t="str">
        <f>INDEX(Assets[Asset_ID],MATCH(Network_Connections[[#This Row],[From1]],Assets[name],0))</f>
        <v>A00001</v>
      </c>
      <c r="D5" s="3" t="s">
        <v>166</v>
      </c>
      <c r="E5" s="3" t="str">
        <f xml:space="preserve"> SUBSTITUTE(RIGHT(SUBSTITUTE(Network_Connections[[#This Row],[to]],"_",REPT("*",10)),10),"*","")</f>
        <v>FW2</v>
      </c>
      <c r="F5" s="3" t="str">
        <f>INDEX(Assets[Asset_ID],MATCH(Network_Connections[[#This Row],[From2]],Assets[name],0))</f>
        <v>A00005</v>
      </c>
      <c r="G5" s="3" t="s">
        <v>145</v>
      </c>
      <c r="H5" s="3" t="s">
        <v>144</v>
      </c>
      <c r="I5" s="3">
        <v>1</v>
      </c>
      <c r="J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"A00001"-&gt;"A00005"@00:("IP", "0-65535");</v>
      </c>
      <c r="K5" s="3" t="str">
        <f>RIGHT(Network_Connections[[#This Row],[port/protocol]],LEN(Network_Connections[[#This Row],[port/protocol]])-FIND("/",Network_Connections[[#This Row],[port/protocol]]))</f>
        <v>0-65535</v>
      </c>
      <c r="L5" s="3">
        <f t="shared" si="0"/>
        <v>0</v>
      </c>
      <c r="Z5" t="str">
        <f t="shared" ref="Z5:Z28" si="1" xml:space="preserve"> RIGHT(S5,FIND(TRIM(RIGHT(SUBSTITUTE(S5,"_",REPT(" ",100)),100)),S5)-1)</f>
        <v/>
      </c>
    </row>
    <row r="6" spans="1:26" x14ac:dyDescent="0.2">
      <c r="A6" s="3" t="s">
        <v>171</v>
      </c>
      <c r="B6" s="3" t="str">
        <f xml:space="preserve"> SUBSTITUTE(RIGHT(SUBSTITUTE(Network_Connections[[#This Row],[from]],"_",REPT("*",10)),10),"*","")</f>
        <v>FW1</v>
      </c>
      <c r="C6" s="3" t="str">
        <f>INDEX(Assets[Asset_ID],MATCH(Network_Connections[[#This Row],[From1]],Assets[name],0))</f>
        <v>A00001</v>
      </c>
      <c r="D6" s="3" t="s">
        <v>165</v>
      </c>
      <c r="E6" s="3" t="str">
        <f xml:space="preserve"> SUBSTITUTE(RIGHT(SUBSTITUTE(Network_Connections[[#This Row],[to]],"_",REPT("*",10)),10),"*","")</f>
        <v>SW1</v>
      </c>
      <c r="F6" s="3" t="str">
        <f>INDEX(Assets[Asset_ID],MATCH(Network_Connections[[#This Row],[From2]],Assets[name],0))</f>
        <v>A00006</v>
      </c>
      <c r="G6" s="3" t="s">
        <v>145</v>
      </c>
      <c r="H6" s="3" t="s">
        <v>144</v>
      </c>
      <c r="I6" s="3">
        <v>0</v>
      </c>
      <c r="J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" s="3" t="str">
        <f>RIGHT(Network_Connections[[#This Row],[port/protocol]],LEN(Network_Connections[[#This Row],[port/protocol]])-FIND("/",Network_Connections[[#This Row],[port/protocol]]))</f>
        <v>0-65535</v>
      </c>
      <c r="L6" s="3">
        <f t="shared" si="0"/>
        <v>0</v>
      </c>
      <c r="Z6" t="str">
        <f t="shared" si="1"/>
        <v/>
      </c>
    </row>
    <row r="7" spans="1:26" x14ac:dyDescent="0.2">
      <c r="A7" s="3" t="s">
        <v>171</v>
      </c>
      <c r="B7" s="3" t="str">
        <f xml:space="preserve"> SUBSTITUTE(RIGHT(SUBSTITUTE(Network_Connections[[#This Row],[from]],"_",REPT("*",10)),10),"*","")</f>
        <v>FW1</v>
      </c>
      <c r="C7" s="3" t="str">
        <f>INDEX(Assets[Asset_ID],MATCH(Network_Connections[[#This Row],[From1]],Assets[name],0))</f>
        <v>A00001</v>
      </c>
      <c r="D7" s="3" t="s">
        <v>164</v>
      </c>
      <c r="E7" s="3" t="str">
        <f xml:space="preserve"> SUBSTITUTE(RIGHT(SUBSTITUTE(Network_Connections[[#This Row],[to]],"_",REPT("*",10)),10),"*","")</f>
        <v>AD</v>
      </c>
      <c r="F7" s="3" t="str">
        <f>INDEX(Assets[Asset_ID],MATCH(Network_Connections[[#This Row],[From2]],Assets[name],0))</f>
        <v>A00007</v>
      </c>
      <c r="G7" s="3" t="s">
        <v>145</v>
      </c>
      <c r="H7" s="3" t="s">
        <v>144</v>
      </c>
      <c r="I7" s="3">
        <v>0</v>
      </c>
      <c r="J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" s="3" t="str">
        <f>RIGHT(Network_Connections[[#This Row],[port/protocol]],LEN(Network_Connections[[#This Row],[port/protocol]])-FIND("/",Network_Connections[[#This Row],[port/protocol]]))</f>
        <v>0-65535</v>
      </c>
      <c r="L7" s="3">
        <f t="shared" si="0"/>
        <v>0</v>
      </c>
      <c r="Z7" t="str">
        <f t="shared" si="1"/>
        <v/>
      </c>
    </row>
    <row r="8" spans="1:26" x14ac:dyDescent="0.2">
      <c r="A8" s="3" t="s">
        <v>171</v>
      </c>
      <c r="B8" s="3" t="str">
        <f xml:space="preserve"> SUBSTITUTE(RIGHT(SUBSTITUTE(Network_Connections[[#This Row],[from]],"_",REPT("*",10)),10),"*","")</f>
        <v>FW1</v>
      </c>
      <c r="C8" s="3" t="str">
        <f>INDEX(Assets[Asset_ID],MATCH(Network_Connections[[#This Row],[From1]],Assets[name],0))</f>
        <v>A00001</v>
      </c>
      <c r="D8" s="3" t="s">
        <v>163</v>
      </c>
      <c r="E8" s="3" t="str">
        <f xml:space="preserve"> SUBSTITUTE(RIGHT(SUBSTITUTE(Network_Connections[[#This Row],[to]],"_",REPT("*",10)),10),"*","")</f>
        <v>ERP</v>
      </c>
      <c r="F8" s="3" t="str">
        <f>INDEX(Assets[Asset_ID],MATCH(Network_Connections[[#This Row],[From2]],Assets[name],0))</f>
        <v>A00008</v>
      </c>
      <c r="G8" s="3" t="s">
        <v>145</v>
      </c>
      <c r="H8" s="3" t="s">
        <v>144</v>
      </c>
      <c r="I8" s="3">
        <v>0</v>
      </c>
      <c r="J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" s="3" t="str">
        <f>RIGHT(Network_Connections[[#This Row],[port/protocol]],LEN(Network_Connections[[#This Row],[port/protocol]])-FIND("/",Network_Connections[[#This Row],[port/protocol]]))</f>
        <v>0-65535</v>
      </c>
      <c r="L8" s="3">
        <f t="shared" si="0"/>
        <v>0</v>
      </c>
      <c r="Z8" t="str">
        <f t="shared" si="1"/>
        <v/>
      </c>
    </row>
    <row r="9" spans="1:26" x14ac:dyDescent="0.2">
      <c r="A9" s="3" t="s">
        <v>171</v>
      </c>
      <c r="B9" s="3" t="str">
        <f xml:space="preserve"> SUBSTITUTE(RIGHT(SUBSTITUTE(Network_Connections[[#This Row],[from]],"_",REPT("*",10)),10),"*","")</f>
        <v>FW1</v>
      </c>
      <c r="C9" s="3" t="str">
        <f>INDEX(Assets[Asset_ID],MATCH(Network_Connections[[#This Row],[From1]],Assets[name],0))</f>
        <v>A00001</v>
      </c>
      <c r="D9" s="3" t="s">
        <v>162</v>
      </c>
      <c r="E9" s="3" t="str">
        <f xml:space="preserve"> SUBSTITUTE(RIGHT(SUBSTITUTE(Network_Connections[[#This Row],[to]],"_",REPT("*",10)),10),"*","")</f>
        <v>Banking</v>
      </c>
      <c r="F9" s="3" t="str">
        <f>INDEX(Assets[Asset_ID],MATCH(Network_Connections[[#This Row],[From2]],Assets[name],0))</f>
        <v>A00009</v>
      </c>
      <c r="G9" s="3" t="s">
        <v>145</v>
      </c>
      <c r="H9" s="3" t="s">
        <v>144</v>
      </c>
      <c r="I9" s="3">
        <v>0</v>
      </c>
      <c r="J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" s="3" t="str">
        <f>RIGHT(Network_Connections[[#This Row],[port/protocol]],LEN(Network_Connections[[#This Row],[port/protocol]])-FIND("/",Network_Connections[[#This Row],[port/protocol]]))</f>
        <v>0-65535</v>
      </c>
      <c r="L9" s="3">
        <f t="shared" si="0"/>
        <v>0</v>
      </c>
      <c r="Z9" t="str">
        <f t="shared" si="1"/>
        <v/>
      </c>
    </row>
    <row r="10" spans="1:26" x14ac:dyDescent="0.2">
      <c r="A10" s="3" t="s">
        <v>171</v>
      </c>
      <c r="B10" s="3" t="str">
        <f xml:space="preserve"> SUBSTITUTE(RIGHT(SUBSTITUTE(Network_Connections[[#This Row],[from]],"_",REPT("*",10)),10),"*","")</f>
        <v>FW1</v>
      </c>
      <c r="C10" s="3" t="str">
        <f>INDEX(Assets[Asset_ID],MATCH(Network_Connections[[#This Row],[From1]],Assets[name],0))</f>
        <v>A00001</v>
      </c>
      <c r="D10" s="3" t="s">
        <v>161</v>
      </c>
      <c r="E10" s="3" t="str">
        <f xml:space="preserve"> SUBSTITUTE(RIGHT(SUBSTITUTE(Network_Connections[[#This Row],[to]],"_",REPT("*",10)),10),"*","")</f>
        <v>Email</v>
      </c>
      <c r="F10" s="3" t="str">
        <f>INDEX(Assets[Asset_ID],MATCH(Network_Connections[[#This Row],[From2]],Assets[name],0))</f>
        <v>A00010</v>
      </c>
      <c r="G10" s="3" t="s">
        <v>145</v>
      </c>
      <c r="H10" s="3" t="s">
        <v>144</v>
      </c>
      <c r="I10" s="3">
        <v>0</v>
      </c>
      <c r="J1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0" s="3" t="str">
        <f>RIGHT(Network_Connections[[#This Row],[port/protocol]],LEN(Network_Connections[[#This Row],[port/protocol]])-FIND("/",Network_Connections[[#This Row],[port/protocol]]))</f>
        <v>0-65535</v>
      </c>
      <c r="L10" s="3">
        <f t="shared" si="0"/>
        <v>0</v>
      </c>
      <c r="Z10" t="str">
        <f t="shared" si="1"/>
        <v/>
      </c>
    </row>
    <row r="11" spans="1:26" x14ac:dyDescent="0.2">
      <c r="A11" s="3" t="s">
        <v>171</v>
      </c>
      <c r="B11" s="3" t="str">
        <f xml:space="preserve"> SUBSTITUTE(RIGHT(SUBSTITUTE(Network_Connections[[#This Row],[from]],"_",REPT("*",10)),10),"*","")</f>
        <v>FW1</v>
      </c>
      <c r="C11" s="3" t="str">
        <f>INDEX(Assets[Asset_ID],MATCH(Network_Connections[[#This Row],[From1]],Assets[name],0))</f>
        <v>A00001</v>
      </c>
      <c r="D11" s="3" t="s">
        <v>160</v>
      </c>
      <c r="E11" s="3" t="str">
        <f xml:space="preserve"> SUBSTITUTE(RIGHT(SUBSTITUTE(Network_Connections[[#This Row],[to]],"_",REPT("*",10)),10),"*","")</f>
        <v>WMS</v>
      </c>
      <c r="F11" s="3" t="str">
        <f>INDEX(Assets[Asset_ID],MATCH(Network_Connections[[#This Row],[From2]],Assets[name],0))</f>
        <v>A00011</v>
      </c>
      <c r="G11" s="3" t="s">
        <v>145</v>
      </c>
      <c r="H11" s="3" t="s">
        <v>144</v>
      </c>
      <c r="I11" s="3">
        <v>0</v>
      </c>
      <c r="J1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" s="3" t="str">
        <f>RIGHT(Network_Connections[[#This Row],[port/protocol]],LEN(Network_Connections[[#This Row],[port/protocol]])-FIND("/",Network_Connections[[#This Row],[port/protocol]]))</f>
        <v>0-65535</v>
      </c>
      <c r="L11" s="3">
        <f t="shared" si="0"/>
        <v>0</v>
      </c>
      <c r="Z11" t="str">
        <f t="shared" si="1"/>
        <v/>
      </c>
    </row>
    <row r="12" spans="1:26" x14ac:dyDescent="0.2">
      <c r="A12" s="3" t="s">
        <v>171</v>
      </c>
      <c r="B12" s="3" t="str">
        <f xml:space="preserve"> SUBSTITUTE(RIGHT(SUBSTITUTE(Network_Connections[[#This Row],[from]],"_",REPT("*",10)),10),"*","")</f>
        <v>FW1</v>
      </c>
      <c r="C12" s="3" t="str">
        <f>INDEX(Assets[Asset_ID],MATCH(Network_Connections[[#This Row],[From1]],Assets[name],0))</f>
        <v>A00001</v>
      </c>
      <c r="D12" s="3" t="s">
        <v>159</v>
      </c>
      <c r="E12" s="3" t="str">
        <f xml:space="preserve"> SUBSTITUTE(RIGHT(SUBSTITUTE(Network_Connections[[#This Row],[to]],"_",REPT("*",10)),10),"*","")</f>
        <v>CRM</v>
      </c>
      <c r="F12" s="3" t="str">
        <f>INDEX(Assets[Asset_ID],MATCH(Network_Connections[[#This Row],[From2]],Assets[name],0))</f>
        <v>A00012</v>
      </c>
      <c r="G12" s="3" t="s">
        <v>145</v>
      </c>
      <c r="H12" s="3" t="s">
        <v>144</v>
      </c>
      <c r="I12" s="3">
        <v>0</v>
      </c>
      <c r="J1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2" s="3" t="str">
        <f>RIGHT(Network_Connections[[#This Row],[port/protocol]],LEN(Network_Connections[[#This Row],[port/protocol]])-FIND("/",Network_Connections[[#This Row],[port/protocol]]))</f>
        <v>0-65535</v>
      </c>
      <c r="L12" s="3">
        <f t="shared" si="0"/>
        <v>0</v>
      </c>
      <c r="Z12" t="str">
        <f t="shared" si="1"/>
        <v/>
      </c>
    </row>
    <row r="13" spans="1:26" x14ac:dyDescent="0.2">
      <c r="A13" s="3" t="s">
        <v>171</v>
      </c>
      <c r="B13" s="3" t="str">
        <f xml:space="preserve"> SUBSTITUTE(RIGHT(SUBSTITUTE(Network_Connections[[#This Row],[from]],"_",REPT("*",10)),10),"*","")</f>
        <v>FW1</v>
      </c>
      <c r="C13" s="3" t="str">
        <f>INDEX(Assets[Asset_ID],MATCH(Network_Connections[[#This Row],[From1]],Assets[name],0))</f>
        <v>A00001</v>
      </c>
      <c r="D13" s="3" t="s">
        <v>158</v>
      </c>
      <c r="E13" s="3" t="str">
        <f xml:space="preserve"> SUBSTITUTE(RIGHT(SUBSTITUTE(Network_Connections[[#This Row],[to]],"_",REPT("*",10)),10),"*","")</f>
        <v>WIFI1</v>
      </c>
      <c r="F13" s="3" t="str">
        <f>INDEX(Assets[Asset_ID],MATCH(Network_Connections[[#This Row],[From2]],Assets[name],0))</f>
        <v>A00013</v>
      </c>
      <c r="G13" s="3" t="s">
        <v>145</v>
      </c>
      <c r="H13" s="3" t="s">
        <v>144</v>
      </c>
      <c r="I13" s="3">
        <v>0</v>
      </c>
      <c r="J1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3" s="3" t="str">
        <f>RIGHT(Network_Connections[[#This Row],[port/protocol]],LEN(Network_Connections[[#This Row],[port/protocol]])-FIND("/",Network_Connections[[#This Row],[port/protocol]]))</f>
        <v>0-65535</v>
      </c>
      <c r="L13" s="3">
        <f t="shared" si="0"/>
        <v>0</v>
      </c>
      <c r="Z13" t="str">
        <f t="shared" si="1"/>
        <v/>
      </c>
    </row>
    <row r="14" spans="1:26" x14ac:dyDescent="0.2">
      <c r="A14" s="3" t="s">
        <v>171</v>
      </c>
      <c r="B14" s="3" t="str">
        <f xml:space="preserve"> SUBSTITUTE(RIGHT(SUBSTITUTE(Network_Connections[[#This Row],[from]],"_",REPT("*",10)),10),"*","")</f>
        <v>FW1</v>
      </c>
      <c r="C14" s="3" t="str">
        <f>INDEX(Assets[Asset_ID],MATCH(Network_Connections[[#This Row],[From1]],Assets[name],0))</f>
        <v>A00001</v>
      </c>
      <c r="D14" s="3" t="s">
        <v>157</v>
      </c>
      <c r="E14" s="3" t="str">
        <f xml:space="preserve"> SUBSTITUTE(RIGHT(SUBSTITUTE(Network_Connections[[#This Row],[to]],"_",REPT("*",10)),10),"*","")</f>
        <v>WS1</v>
      </c>
      <c r="F14" s="3" t="str">
        <f>INDEX(Assets[Asset_ID],MATCH(Network_Connections[[#This Row],[From2]],Assets[name],0))</f>
        <v>A00014</v>
      </c>
      <c r="G14" s="3" t="s">
        <v>145</v>
      </c>
      <c r="H14" s="3" t="s">
        <v>144</v>
      </c>
      <c r="I14" s="3">
        <v>0</v>
      </c>
      <c r="J1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" s="3" t="str">
        <f>RIGHT(Network_Connections[[#This Row],[port/protocol]],LEN(Network_Connections[[#This Row],[port/protocol]])-FIND("/",Network_Connections[[#This Row],[port/protocol]]))</f>
        <v>0-65535</v>
      </c>
      <c r="L14" s="3">
        <f t="shared" si="0"/>
        <v>0</v>
      </c>
      <c r="Z14" t="str">
        <f t="shared" si="1"/>
        <v/>
      </c>
    </row>
    <row r="15" spans="1:26" x14ac:dyDescent="0.2">
      <c r="A15" s="3" t="s">
        <v>171</v>
      </c>
      <c r="B15" s="3" t="str">
        <f xml:space="preserve"> SUBSTITUTE(RIGHT(SUBSTITUTE(Network_Connections[[#This Row],[from]],"_",REPT("*",10)),10),"*","")</f>
        <v>FW1</v>
      </c>
      <c r="C15" s="3" t="str">
        <f>INDEX(Assets[Asset_ID],MATCH(Network_Connections[[#This Row],[From1]],Assets[name],0))</f>
        <v>A00001</v>
      </c>
      <c r="D15" s="3" t="s">
        <v>156</v>
      </c>
      <c r="E15" s="3" t="str">
        <f xml:space="preserve"> SUBSTITUTE(RIGHT(SUBSTITUTE(Network_Connections[[#This Row],[to]],"_",REPT("*",10)),10),"*","")</f>
        <v>FW3</v>
      </c>
      <c r="F15" s="3" t="str">
        <f>INDEX(Assets[Asset_ID],MATCH(Network_Connections[[#This Row],[From2]],Assets[name],0))</f>
        <v>A00015</v>
      </c>
      <c r="G15" s="3" t="s">
        <v>145</v>
      </c>
      <c r="H15" s="3" t="s">
        <v>144</v>
      </c>
      <c r="I15" s="3">
        <v>0</v>
      </c>
      <c r="J1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5" s="3" t="str">
        <f>RIGHT(Network_Connections[[#This Row],[port/protocol]],LEN(Network_Connections[[#This Row],[port/protocol]])-FIND("/",Network_Connections[[#This Row],[port/protocol]]))</f>
        <v>0-65535</v>
      </c>
      <c r="L15" s="3">
        <f t="shared" si="0"/>
        <v>0</v>
      </c>
      <c r="Z15" t="str">
        <f t="shared" si="1"/>
        <v/>
      </c>
    </row>
    <row r="16" spans="1:26" x14ac:dyDescent="0.2">
      <c r="A16" s="3" t="s">
        <v>171</v>
      </c>
      <c r="B16" s="3" t="str">
        <f xml:space="preserve"> SUBSTITUTE(RIGHT(SUBSTITUTE(Network_Connections[[#This Row],[from]],"_",REPT("*",10)),10),"*","")</f>
        <v>FW1</v>
      </c>
      <c r="C16" s="3" t="str">
        <f>INDEX(Assets[Asset_ID],MATCH(Network_Connections[[#This Row],[From1]],Assets[name],0))</f>
        <v>A00001</v>
      </c>
      <c r="D16" s="3" t="s">
        <v>155</v>
      </c>
      <c r="E16" s="3" t="str">
        <f xml:space="preserve"> SUBSTITUTE(RIGHT(SUBSTITUTE(Network_Connections[[#This Row],[to]],"_",REPT("*",10)),10),"*","")</f>
        <v>SW2</v>
      </c>
      <c r="F16" s="3" t="str">
        <f>INDEX(Assets[Asset_ID],MATCH(Network_Connections[[#This Row],[From2]],Assets[name],0))</f>
        <v>A00016</v>
      </c>
      <c r="G16" s="3" t="s">
        <v>145</v>
      </c>
      <c r="H16" s="3" t="s">
        <v>144</v>
      </c>
      <c r="I16" s="3">
        <v>0</v>
      </c>
      <c r="J1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6" s="3" t="str">
        <f>RIGHT(Network_Connections[[#This Row],[port/protocol]],LEN(Network_Connections[[#This Row],[port/protocol]])-FIND("/",Network_Connections[[#This Row],[port/protocol]]))</f>
        <v>0-65535</v>
      </c>
      <c r="L16" s="3">
        <f t="shared" si="0"/>
        <v>0</v>
      </c>
      <c r="Z16" t="str">
        <f t="shared" si="1"/>
        <v/>
      </c>
    </row>
    <row r="17" spans="1:26" x14ac:dyDescent="0.2">
      <c r="A17" s="3" t="s">
        <v>171</v>
      </c>
      <c r="B17" s="3" t="str">
        <f xml:space="preserve"> SUBSTITUTE(RIGHT(SUBSTITUTE(Network_Connections[[#This Row],[from]],"_",REPT("*",10)),10),"*","")</f>
        <v>FW1</v>
      </c>
      <c r="C17" s="3" t="str">
        <f>INDEX(Assets[Asset_ID],MATCH(Network_Connections[[#This Row],[From1]],Assets[name],0))</f>
        <v>A00001</v>
      </c>
      <c r="D17" s="3" t="s">
        <v>154</v>
      </c>
      <c r="E17" s="3" t="str">
        <f xml:space="preserve"> SUBSTITUTE(RIGHT(SUBSTITUTE(Network_Connections[[#This Row],[to]],"_",REPT("*",10)),10),"*","")</f>
        <v>WS2</v>
      </c>
      <c r="F17" s="3" t="str">
        <f>INDEX(Assets[Asset_ID],MATCH(Network_Connections[[#This Row],[From2]],Assets[name],0))</f>
        <v>A00017</v>
      </c>
      <c r="G17" s="3" t="s">
        <v>145</v>
      </c>
      <c r="H17" s="3" t="s">
        <v>144</v>
      </c>
      <c r="I17" s="3">
        <v>0</v>
      </c>
      <c r="J1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7" s="3" t="str">
        <f>RIGHT(Network_Connections[[#This Row],[port/protocol]],LEN(Network_Connections[[#This Row],[port/protocol]])-FIND("/",Network_Connections[[#This Row],[port/protocol]]))</f>
        <v>0-65535</v>
      </c>
      <c r="L17" s="3">
        <f t="shared" si="0"/>
        <v>0</v>
      </c>
      <c r="Z17" t="str">
        <f t="shared" si="1"/>
        <v/>
      </c>
    </row>
    <row r="18" spans="1:26" x14ac:dyDescent="0.2">
      <c r="A18" s="3" t="s">
        <v>171</v>
      </c>
      <c r="B18" s="3" t="str">
        <f xml:space="preserve"> SUBSTITUTE(RIGHT(SUBSTITUTE(Network_Connections[[#This Row],[from]],"_",REPT("*",10)),10),"*","")</f>
        <v>FW1</v>
      </c>
      <c r="C18" s="3" t="str">
        <f>INDEX(Assets[Asset_ID],MATCH(Network_Connections[[#This Row],[From1]],Assets[name],0))</f>
        <v>A00001</v>
      </c>
      <c r="D18" s="3" t="s">
        <v>153</v>
      </c>
      <c r="E18" s="3" t="str">
        <f xml:space="preserve"> SUBSTITUTE(RIGHT(SUBSTITUTE(Network_Connections[[#This Row],[to]],"_",REPT("*",10)),10),"*","")</f>
        <v>WS3</v>
      </c>
      <c r="F18" s="3" t="str">
        <f>INDEX(Assets[Asset_ID],MATCH(Network_Connections[[#This Row],[From2]],Assets[name],0))</f>
        <v>A00018</v>
      </c>
      <c r="G18" s="3" t="s">
        <v>145</v>
      </c>
      <c r="H18" s="3" t="s">
        <v>144</v>
      </c>
      <c r="I18" s="3">
        <v>0</v>
      </c>
      <c r="J1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" s="3" t="str">
        <f>RIGHT(Network_Connections[[#This Row],[port/protocol]],LEN(Network_Connections[[#This Row],[port/protocol]])-FIND("/",Network_Connections[[#This Row],[port/protocol]]))</f>
        <v>0-65535</v>
      </c>
      <c r="L18" s="3">
        <f t="shared" si="0"/>
        <v>0</v>
      </c>
      <c r="Z18" t="str">
        <f t="shared" si="1"/>
        <v/>
      </c>
    </row>
    <row r="19" spans="1:26" x14ac:dyDescent="0.2">
      <c r="A19" s="3" t="s">
        <v>171</v>
      </c>
      <c r="B19" s="3" t="str">
        <f xml:space="preserve"> SUBSTITUTE(RIGHT(SUBSTITUTE(Network_Connections[[#This Row],[from]],"_",REPT("*",10)),10),"*","")</f>
        <v>FW1</v>
      </c>
      <c r="C19" s="3" t="str">
        <f>INDEX(Assets[Asset_ID],MATCH(Network_Connections[[#This Row],[From1]],Assets[name],0))</f>
        <v>A00001</v>
      </c>
      <c r="D19" s="3" t="s">
        <v>152</v>
      </c>
      <c r="E19" s="3" t="str">
        <f xml:space="preserve"> SUBSTITUTE(RIGHT(SUBSTITUTE(Network_Connections[[#This Row],[to]],"_",REPT("*",10)),10),"*","")</f>
        <v>WS4</v>
      </c>
      <c r="F19" s="3" t="str">
        <f>INDEX(Assets[Asset_ID],MATCH(Network_Connections[[#This Row],[From2]],Assets[name],0))</f>
        <v>A00019</v>
      </c>
      <c r="G19" s="3" t="s">
        <v>145</v>
      </c>
      <c r="H19" s="3" t="s">
        <v>144</v>
      </c>
      <c r="I19" s="3">
        <v>0</v>
      </c>
      <c r="J1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" s="3" t="str">
        <f>RIGHT(Network_Connections[[#This Row],[port/protocol]],LEN(Network_Connections[[#This Row],[port/protocol]])-FIND("/",Network_Connections[[#This Row],[port/protocol]]))</f>
        <v>0-65535</v>
      </c>
      <c r="L19" s="3">
        <f t="shared" si="0"/>
        <v>0</v>
      </c>
      <c r="Z19" t="str">
        <f t="shared" si="1"/>
        <v/>
      </c>
    </row>
    <row r="20" spans="1:26" x14ac:dyDescent="0.2">
      <c r="A20" s="3" t="s">
        <v>171</v>
      </c>
      <c r="B20" s="3" t="str">
        <f xml:space="preserve"> SUBSTITUTE(RIGHT(SUBSTITUTE(Network_Connections[[#This Row],[from]],"_",REPT("*",10)),10),"*","")</f>
        <v>FW1</v>
      </c>
      <c r="C20" s="3" t="str">
        <f>INDEX(Assets[Asset_ID],MATCH(Network_Connections[[#This Row],[From1]],Assets[name],0))</f>
        <v>A00001</v>
      </c>
      <c r="D20" s="3" t="s">
        <v>151</v>
      </c>
      <c r="E20" s="3" t="str">
        <f xml:space="preserve"> SUBSTITUTE(RIGHT(SUBSTITUTE(Network_Connections[[#This Row],[to]],"_",REPT("*",10)),10),"*","")</f>
        <v>FW4</v>
      </c>
      <c r="F20" s="3" t="str">
        <f>INDEX(Assets[Asset_ID],MATCH(Network_Connections[[#This Row],[From2]],Assets[name],0))</f>
        <v>A00020</v>
      </c>
      <c r="G20" s="3" t="s">
        <v>145</v>
      </c>
      <c r="H20" s="3" t="s">
        <v>144</v>
      </c>
      <c r="I20" s="3">
        <v>0</v>
      </c>
      <c r="J2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0" s="3" t="str">
        <f>RIGHT(Network_Connections[[#This Row],[port/protocol]],LEN(Network_Connections[[#This Row],[port/protocol]])-FIND("/",Network_Connections[[#This Row],[port/protocol]]))</f>
        <v>0-65535</v>
      </c>
      <c r="L20" s="3">
        <f t="shared" si="0"/>
        <v>0</v>
      </c>
      <c r="Z20" t="str">
        <f t="shared" si="1"/>
        <v/>
      </c>
    </row>
    <row r="21" spans="1:26" x14ac:dyDescent="0.2">
      <c r="A21" s="3" t="s">
        <v>171</v>
      </c>
      <c r="B21" s="3" t="str">
        <f xml:space="preserve"> SUBSTITUTE(RIGHT(SUBSTITUTE(Network_Connections[[#This Row],[from]],"_",REPT("*",10)),10),"*","")</f>
        <v>FW1</v>
      </c>
      <c r="C21" s="3" t="str">
        <f>INDEX(Assets[Asset_ID],MATCH(Network_Connections[[#This Row],[From1]],Assets[name],0))</f>
        <v>A00001</v>
      </c>
      <c r="D21" s="3" t="s">
        <v>150</v>
      </c>
      <c r="E21" s="3" t="str">
        <f xml:space="preserve"> SUBSTITUTE(RIGHT(SUBSTITUTE(Network_Connections[[#This Row],[to]],"_",REPT("*",10)),10),"*","")</f>
        <v>WIFI2</v>
      </c>
      <c r="F21" s="3" t="str">
        <f>INDEX(Assets[Asset_ID],MATCH(Network_Connections[[#This Row],[From2]],Assets[name],0))</f>
        <v>A00021</v>
      </c>
      <c r="G21" s="3" t="s">
        <v>145</v>
      </c>
      <c r="H21" s="3" t="s">
        <v>144</v>
      </c>
      <c r="I21" s="3">
        <v>0</v>
      </c>
      <c r="J2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" s="3" t="str">
        <f>RIGHT(Network_Connections[[#This Row],[port/protocol]],LEN(Network_Connections[[#This Row],[port/protocol]])-FIND("/",Network_Connections[[#This Row],[port/protocol]]))</f>
        <v>0-65535</v>
      </c>
      <c r="L21" s="3">
        <f t="shared" si="0"/>
        <v>0</v>
      </c>
      <c r="Z21" t="str">
        <f t="shared" si="1"/>
        <v/>
      </c>
    </row>
    <row r="22" spans="1:26" x14ac:dyDescent="0.2">
      <c r="A22" s="3" t="s">
        <v>171</v>
      </c>
      <c r="B22" s="3" t="str">
        <f xml:space="preserve"> SUBSTITUTE(RIGHT(SUBSTITUTE(Network_Connections[[#This Row],[from]],"_",REPT("*",10)),10),"*","")</f>
        <v>FW1</v>
      </c>
      <c r="C22" s="3" t="str">
        <f>INDEX(Assets[Asset_ID],MATCH(Network_Connections[[#This Row],[From1]],Assets[name],0))</f>
        <v>A00001</v>
      </c>
      <c r="D22" s="3" t="s">
        <v>149</v>
      </c>
      <c r="E22" s="3" t="str">
        <f xml:space="preserve"> SUBSTITUTE(RIGHT(SUBSTITUTE(Network_Connections[[#This Row],[to]],"_",REPT("*",10)),10),"*","")</f>
        <v>WS5</v>
      </c>
      <c r="F22" s="3" t="str">
        <f>INDEX(Assets[Asset_ID],MATCH(Network_Connections[[#This Row],[From2]],Assets[name],0))</f>
        <v>A00022</v>
      </c>
      <c r="G22" s="3" t="s">
        <v>145</v>
      </c>
      <c r="H22" s="3" t="s">
        <v>144</v>
      </c>
      <c r="I22" s="3">
        <v>0</v>
      </c>
      <c r="J2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2" s="3" t="str">
        <f>RIGHT(Network_Connections[[#This Row],[port/protocol]],LEN(Network_Connections[[#This Row],[port/protocol]])-FIND("/",Network_Connections[[#This Row],[port/protocol]]))</f>
        <v>0-65535</v>
      </c>
      <c r="L22" s="3">
        <f t="shared" si="0"/>
        <v>0</v>
      </c>
      <c r="Z22" t="str">
        <f t="shared" si="1"/>
        <v/>
      </c>
    </row>
    <row r="23" spans="1:26" x14ac:dyDescent="0.2">
      <c r="A23" s="3" t="s">
        <v>171</v>
      </c>
      <c r="B23" s="3" t="str">
        <f xml:space="preserve"> SUBSTITUTE(RIGHT(SUBSTITUTE(Network_Connections[[#This Row],[from]],"_",REPT("*",10)),10),"*","")</f>
        <v>FW1</v>
      </c>
      <c r="C23" s="3" t="str">
        <f>INDEX(Assets[Asset_ID],MATCH(Network_Connections[[#This Row],[From1]],Assets[name],0))</f>
        <v>A00001</v>
      </c>
      <c r="D23" s="3" t="s">
        <v>148</v>
      </c>
      <c r="E23" s="3" t="str">
        <f xml:space="preserve"> SUBSTITUTE(RIGHT(SUBSTITUTE(Network_Connections[[#This Row],[to]],"_",REPT("*",10)),10),"*","")</f>
        <v>WS6</v>
      </c>
      <c r="F23" s="3" t="str">
        <f>INDEX(Assets[Asset_ID],MATCH(Network_Connections[[#This Row],[From2]],Assets[name],0))</f>
        <v>A00023</v>
      </c>
      <c r="G23" s="3" t="s">
        <v>145</v>
      </c>
      <c r="H23" s="3" t="s">
        <v>144</v>
      </c>
      <c r="I23" s="3">
        <v>0</v>
      </c>
      <c r="J2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" s="3" t="str">
        <f>RIGHT(Network_Connections[[#This Row],[port/protocol]],LEN(Network_Connections[[#This Row],[port/protocol]])-FIND("/",Network_Connections[[#This Row],[port/protocol]]))</f>
        <v>0-65535</v>
      </c>
      <c r="L23" s="3">
        <f t="shared" si="0"/>
        <v>0</v>
      </c>
      <c r="Z23" t="str">
        <f t="shared" si="1"/>
        <v/>
      </c>
    </row>
    <row r="24" spans="1:26" x14ac:dyDescent="0.2">
      <c r="A24" s="3" t="s">
        <v>171</v>
      </c>
      <c r="B24" s="3" t="str">
        <f xml:space="preserve"> SUBSTITUTE(RIGHT(SUBSTITUTE(Network_Connections[[#This Row],[from]],"_",REPT("*",10)),10),"*","")</f>
        <v>FW1</v>
      </c>
      <c r="C24" s="3" t="str">
        <f>INDEX(Assets[Asset_ID],MATCH(Network_Connections[[#This Row],[From1]],Assets[name],0))</f>
        <v>A00001</v>
      </c>
      <c r="D24" s="3" t="s">
        <v>146</v>
      </c>
      <c r="E24" s="3" t="str">
        <f xml:space="preserve"> SUBSTITUTE(RIGHT(SUBSTITUTE(Network_Connections[[#This Row],[to]],"_",REPT("*",10)),10),"*","")</f>
        <v>WS7</v>
      </c>
      <c r="F24" s="3" t="str">
        <f>INDEX(Assets[Asset_ID],MATCH(Network_Connections[[#This Row],[From2]],Assets[name],0))</f>
        <v>A00024</v>
      </c>
      <c r="G24" s="3" t="s">
        <v>145</v>
      </c>
      <c r="H24" s="3" t="s">
        <v>144</v>
      </c>
      <c r="I24" s="3">
        <v>0</v>
      </c>
      <c r="J2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" s="3" t="str">
        <f>RIGHT(Network_Connections[[#This Row],[port/protocol]],LEN(Network_Connections[[#This Row],[port/protocol]])-FIND("/",Network_Connections[[#This Row],[port/protocol]]))</f>
        <v>0-65535</v>
      </c>
      <c r="L24" s="3">
        <f t="shared" si="0"/>
        <v>0</v>
      </c>
      <c r="Z24" t="str">
        <f t="shared" si="1"/>
        <v/>
      </c>
    </row>
    <row r="25" spans="1:26" x14ac:dyDescent="0.2">
      <c r="A25" s="3" t="s">
        <v>171</v>
      </c>
      <c r="B25" s="3" t="str">
        <f xml:space="preserve"> SUBSTITUTE(RIGHT(SUBSTITUTE(Network_Connections[[#This Row],[from]],"_",REPT("*",10)),10),"*","")</f>
        <v>FW1</v>
      </c>
      <c r="C25" s="3" t="str">
        <f>INDEX(Assets[Asset_ID],MATCH(Network_Connections[[#This Row],[From1]],Assets[name],0))</f>
        <v>A00001</v>
      </c>
      <c r="D25" s="3" t="s">
        <v>147</v>
      </c>
      <c r="E25" s="3" t="str">
        <f xml:space="preserve"> SUBSTITUTE(RIGHT(SUBSTITUTE(Network_Connections[[#This Row],[to]],"_",REPT("*",10)),10),"*","")</f>
        <v>WS8</v>
      </c>
      <c r="F25" s="3" t="str">
        <f>INDEX(Assets[Asset_ID],MATCH(Network_Connections[[#This Row],[From2]],Assets[name],0))</f>
        <v>A00025</v>
      </c>
      <c r="G25" s="3" t="s">
        <v>145</v>
      </c>
      <c r="H25" s="3" t="s">
        <v>144</v>
      </c>
      <c r="I25" s="3">
        <v>0</v>
      </c>
      <c r="J2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5" s="3" t="str">
        <f>RIGHT(Network_Connections[[#This Row],[port/protocol]],LEN(Network_Connections[[#This Row],[port/protocol]])-FIND("/",Network_Connections[[#This Row],[port/protocol]]))</f>
        <v>0-65535</v>
      </c>
      <c r="L25" s="3">
        <f t="shared" si="0"/>
        <v>0</v>
      </c>
      <c r="Z25" t="str">
        <f t="shared" si="1"/>
        <v/>
      </c>
    </row>
    <row r="26" spans="1:26" x14ac:dyDescent="0.2">
      <c r="A26" s="3" t="s">
        <v>170</v>
      </c>
      <c r="B26" s="3" t="str">
        <f xml:space="preserve"> SUBSTITUTE(RIGHT(SUBSTITUTE(Network_Connections[[#This Row],[from]],"_",REPT("*",10)),10),"*","")</f>
        <v>VPNSRV</v>
      </c>
      <c r="C26" s="3" t="str">
        <f>INDEX(Assets[Asset_ID],MATCH(Network_Connections[[#This Row],[From1]],Assets[name],0))</f>
        <v>A00002</v>
      </c>
      <c r="D26" s="3" t="s">
        <v>171</v>
      </c>
      <c r="E26" s="3" t="str">
        <f xml:space="preserve"> SUBSTITUTE(RIGHT(SUBSTITUTE(Network_Connections[[#This Row],[to]],"_",REPT("*",10)),10),"*","")</f>
        <v>FW1</v>
      </c>
      <c r="F26" s="3" t="str">
        <f>INDEX(Assets[Asset_ID],MATCH(Network_Connections[[#This Row],[From2]],Assets[name],0))</f>
        <v>A00001</v>
      </c>
      <c r="G26" s="3" t="s">
        <v>145</v>
      </c>
      <c r="H26" s="3" t="s">
        <v>144</v>
      </c>
      <c r="I26" s="3">
        <v>0</v>
      </c>
      <c r="J2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" s="3" t="str">
        <f>RIGHT(Network_Connections[[#This Row],[port/protocol]],LEN(Network_Connections[[#This Row],[port/protocol]])-FIND("/",Network_Connections[[#This Row],[port/protocol]]))</f>
        <v>0-65535</v>
      </c>
      <c r="L26" s="3">
        <f t="shared" si="0"/>
        <v>0</v>
      </c>
      <c r="Z26" t="str">
        <f t="shared" si="1"/>
        <v/>
      </c>
    </row>
    <row r="27" spans="1:26" x14ac:dyDescent="0.2">
      <c r="A27" s="3" t="s">
        <v>170</v>
      </c>
      <c r="B27" s="3" t="str">
        <f xml:space="preserve"> SUBSTITUTE(RIGHT(SUBSTITUTE(Network_Connections[[#This Row],[from]],"_",REPT("*",10)),10),"*","")</f>
        <v>VPNSRV</v>
      </c>
      <c r="C27" s="3" t="str">
        <f>INDEX(Assets[Asset_ID],MATCH(Network_Connections[[#This Row],[From1]],Assets[name],0))</f>
        <v>A00002</v>
      </c>
      <c r="D27" s="3" t="s">
        <v>169</v>
      </c>
      <c r="E27" s="3" t="str">
        <f xml:space="preserve"> SUBSTITUTE(RIGHT(SUBSTITUTE(Network_Connections[[#This Row],[to]],"_",REPT("*",10)),10),"*","")</f>
        <v>WebSRV1</v>
      </c>
      <c r="F27" s="3" t="str">
        <f>INDEX(Assets[Asset_ID],MATCH(Network_Connections[[#This Row],[From2]],Assets[name],0))</f>
        <v>A00003</v>
      </c>
      <c r="G27" s="3" t="s">
        <v>145</v>
      </c>
      <c r="H27" s="3" t="s">
        <v>144</v>
      </c>
      <c r="I27" s="3">
        <v>1</v>
      </c>
      <c r="J2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"A00002"-&gt;"A00003"@00:("IP", "0-65535");</v>
      </c>
      <c r="K27" s="3" t="str">
        <f>RIGHT(Network_Connections[[#This Row],[port/protocol]],LEN(Network_Connections[[#This Row],[port/protocol]])-FIND("/",Network_Connections[[#This Row],[port/protocol]]))</f>
        <v>0-65535</v>
      </c>
      <c r="L27" s="3">
        <f t="shared" si="0"/>
        <v>0</v>
      </c>
      <c r="Z27" t="str">
        <f t="shared" si="1"/>
        <v/>
      </c>
    </row>
    <row r="28" spans="1:26" x14ac:dyDescent="0.2">
      <c r="A28" s="3" t="s">
        <v>170</v>
      </c>
      <c r="B28" s="3" t="str">
        <f xml:space="preserve"> SUBSTITUTE(RIGHT(SUBSTITUTE(Network_Connections[[#This Row],[from]],"_",REPT("*",10)),10),"*","")</f>
        <v>VPNSRV</v>
      </c>
      <c r="C28" s="3" t="str">
        <f>INDEX(Assets[Asset_ID],MATCH(Network_Connections[[#This Row],[From1]],Assets[name],0))</f>
        <v>A00002</v>
      </c>
      <c r="D28" s="3" t="s">
        <v>168</v>
      </c>
      <c r="E28" s="3" t="str">
        <f xml:space="preserve"> SUBSTITUTE(RIGHT(SUBSTITUTE(Network_Connections[[#This Row],[to]],"_",REPT("*",10)),10),"*","")</f>
        <v>WebSRV2</v>
      </c>
      <c r="F28" s="3" t="str">
        <f>INDEX(Assets[Asset_ID],MATCH(Network_Connections[[#This Row],[From2]],Assets[name],0))</f>
        <v>A00004</v>
      </c>
      <c r="G28" s="3" t="s">
        <v>145</v>
      </c>
      <c r="H28" s="3" t="s">
        <v>144</v>
      </c>
      <c r="I28" s="3">
        <v>1</v>
      </c>
      <c r="J2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"A00002"-&gt;"A00004"@00:("IP", "0-65535");</v>
      </c>
      <c r="K28" s="3" t="str">
        <f>RIGHT(Network_Connections[[#This Row],[port/protocol]],LEN(Network_Connections[[#This Row],[port/protocol]])-FIND("/",Network_Connections[[#This Row],[port/protocol]]))</f>
        <v>0-65535</v>
      </c>
      <c r="L28" s="3">
        <f t="shared" si="0"/>
        <v>0</v>
      </c>
      <c r="Z28" t="str">
        <f t="shared" si="1"/>
        <v/>
      </c>
    </row>
    <row r="29" spans="1:26" x14ac:dyDescent="0.2">
      <c r="A29" s="3" t="s">
        <v>170</v>
      </c>
      <c r="B29" s="3" t="str">
        <f xml:space="preserve"> SUBSTITUTE(RIGHT(SUBSTITUTE(Network_Connections[[#This Row],[from]],"_",REPT("*",10)),10),"*","")</f>
        <v>VPNSRV</v>
      </c>
      <c r="C29" s="3" t="str">
        <f>INDEX(Assets[Asset_ID],MATCH(Network_Connections[[#This Row],[From1]],Assets[name],0))</f>
        <v>A00002</v>
      </c>
      <c r="D29" s="3" t="s">
        <v>166</v>
      </c>
      <c r="E29" s="3" t="str">
        <f xml:space="preserve"> SUBSTITUTE(RIGHT(SUBSTITUTE(Network_Connections[[#This Row],[to]],"_",REPT("*",10)),10),"*","")</f>
        <v>FW2</v>
      </c>
      <c r="F29" s="3" t="str">
        <f>INDEX(Assets[Asset_ID],MATCH(Network_Connections[[#This Row],[From2]],Assets[name],0))</f>
        <v>A00005</v>
      </c>
      <c r="G29" s="3" t="s">
        <v>145</v>
      </c>
      <c r="H29" s="3" t="s">
        <v>144</v>
      </c>
      <c r="I29" s="3">
        <v>0</v>
      </c>
      <c r="J2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" s="3" t="str">
        <f>RIGHT(Network_Connections[[#This Row],[port/protocol]],LEN(Network_Connections[[#This Row],[port/protocol]])-FIND("/",Network_Connections[[#This Row],[port/protocol]]))</f>
        <v>0-65535</v>
      </c>
      <c r="L29" s="3">
        <f t="shared" si="0"/>
        <v>0</v>
      </c>
    </row>
    <row r="30" spans="1:26" x14ac:dyDescent="0.2">
      <c r="A30" s="3" t="s">
        <v>170</v>
      </c>
      <c r="B30" s="3" t="str">
        <f xml:space="preserve"> SUBSTITUTE(RIGHT(SUBSTITUTE(Network_Connections[[#This Row],[from]],"_",REPT("*",10)),10),"*","")</f>
        <v>VPNSRV</v>
      </c>
      <c r="C30" s="3" t="str">
        <f>INDEX(Assets[Asset_ID],MATCH(Network_Connections[[#This Row],[From1]],Assets[name],0))</f>
        <v>A00002</v>
      </c>
      <c r="D30" s="3" t="s">
        <v>165</v>
      </c>
      <c r="E30" s="3" t="str">
        <f xml:space="preserve"> SUBSTITUTE(RIGHT(SUBSTITUTE(Network_Connections[[#This Row],[to]],"_",REPT("*",10)),10),"*","")</f>
        <v>SW1</v>
      </c>
      <c r="F30" s="3" t="str">
        <f>INDEX(Assets[Asset_ID],MATCH(Network_Connections[[#This Row],[From2]],Assets[name],0))</f>
        <v>A00006</v>
      </c>
      <c r="G30" s="3" t="s">
        <v>145</v>
      </c>
      <c r="H30" s="3" t="s">
        <v>144</v>
      </c>
      <c r="I30" s="3">
        <v>0</v>
      </c>
      <c r="J3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" s="3" t="str">
        <f>RIGHT(Network_Connections[[#This Row],[port/protocol]],LEN(Network_Connections[[#This Row],[port/protocol]])-FIND("/",Network_Connections[[#This Row],[port/protocol]]))</f>
        <v>0-65535</v>
      </c>
      <c r="L30" s="3">
        <f t="shared" si="0"/>
        <v>0</v>
      </c>
    </row>
    <row r="31" spans="1:26" x14ac:dyDescent="0.2">
      <c r="A31" s="3" t="s">
        <v>170</v>
      </c>
      <c r="B31" s="3" t="str">
        <f xml:space="preserve"> SUBSTITUTE(RIGHT(SUBSTITUTE(Network_Connections[[#This Row],[from]],"_",REPT("*",10)),10),"*","")</f>
        <v>VPNSRV</v>
      </c>
      <c r="C31" s="3" t="str">
        <f>INDEX(Assets[Asset_ID],MATCH(Network_Connections[[#This Row],[From1]],Assets[name],0))</f>
        <v>A00002</v>
      </c>
      <c r="D31" s="3" t="s">
        <v>164</v>
      </c>
      <c r="E31" s="3" t="str">
        <f xml:space="preserve"> SUBSTITUTE(RIGHT(SUBSTITUTE(Network_Connections[[#This Row],[to]],"_",REPT("*",10)),10),"*","")</f>
        <v>AD</v>
      </c>
      <c r="F31" s="3" t="str">
        <f>INDEX(Assets[Asset_ID],MATCH(Network_Connections[[#This Row],[From2]],Assets[name],0))</f>
        <v>A00007</v>
      </c>
      <c r="G31" s="3" t="s">
        <v>145</v>
      </c>
      <c r="H31" s="3" t="s">
        <v>174</v>
      </c>
      <c r="I31" s="3">
        <v>1</v>
      </c>
      <c r="J3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"A00002"-&gt;"A00007"@00:("TCP", "389");</v>
      </c>
      <c r="K31" s="3" t="str">
        <f>RIGHT(Network_Connections[[#This Row],[port/protocol]],LEN(Network_Connections[[#This Row],[port/protocol]])-FIND("/",Network_Connections[[#This Row],[port/protocol]]))</f>
        <v>389</v>
      </c>
      <c r="L31" s="3">
        <f t="shared" si="0"/>
        <v>0</v>
      </c>
    </row>
    <row r="32" spans="1:26" x14ac:dyDescent="0.2">
      <c r="A32" s="3" t="s">
        <v>170</v>
      </c>
      <c r="B32" s="3" t="str">
        <f xml:space="preserve"> SUBSTITUTE(RIGHT(SUBSTITUTE(Network_Connections[[#This Row],[from]],"_",REPT("*",10)),10),"*","")</f>
        <v>VPNSRV</v>
      </c>
      <c r="C32" s="3" t="str">
        <f>INDEX(Assets[Asset_ID],MATCH(Network_Connections[[#This Row],[From1]],Assets[name],0))</f>
        <v>A00002</v>
      </c>
      <c r="D32" s="3" t="s">
        <v>163</v>
      </c>
      <c r="E32" s="3" t="str">
        <f xml:space="preserve"> SUBSTITUTE(RIGHT(SUBSTITUTE(Network_Connections[[#This Row],[to]],"_",REPT("*",10)),10),"*","")</f>
        <v>ERP</v>
      </c>
      <c r="F32" s="3" t="str">
        <f>INDEX(Assets[Asset_ID],MATCH(Network_Connections[[#This Row],[From2]],Assets[name],0))</f>
        <v>A00008</v>
      </c>
      <c r="G32" s="3" t="s">
        <v>145</v>
      </c>
      <c r="H32" s="3" t="s">
        <v>144</v>
      </c>
      <c r="I32" s="3">
        <v>0</v>
      </c>
      <c r="J3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2" s="3" t="str">
        <f>RIGHT(Network_Connections[[#This Row],[port/protocol]],LEN(Network_Connections[[#This Row],[port/protocol]])-FIND("/",Network_Connections[[#This Row],[port/protocol]]))</f>
        <v>0-65535</v>
      </c>
      <c r="L32" s="3">
        <f t="shared" si="0"/>
        <v>0</v>
      </c>
    </row>
    <row r="33" spans="1:12" x14ac:dyDescent="0.2">
      <c r="A33" s="3" t="s">
        <v>170</v>
      </c>
      <c r="B33" s="3" t="str">
        <f xml:space="preserve"> SUBSTITUTE(RIGHT(SUBSTITUTE(Network_Connections[[#This Row],[from]],"_",REPT("*",10)),10),"*","")</f>
        <v>VPNSRV</v>
      </c>
      <c r="C33" s="3" t="str">
        <f>INDEX(Assets[Asset_ID],MATCH(Network_Connections[[#This Row],[From1]],Assets[name],0))</f>
        <v>A00002</v>
      </c>
      <c r="D33" s="3" t="s">
        <v>162</v>
      </c>
      <c r="E33" s="3" t="str">
        <f xml:space="preserve"> SUBSTITUTE(RIGHT(SUBSTITUTE(Network_Connections[[#This Row],[to]],"_",REPT("*",10)),10),"*","")</f>
        <v>Banking</v>
      </c>
      <c r="F33" s="3" t="str">
        <f>INDEX(Assets[Asset_ID],MATCH(Network_Connections[[#This Row],[From2]],Assets[name],0))</f>
        <v>A00009</v>
      </c>
      <c r="G33" s="3" t="s">
        <v>145</v>
      </c>
      <c r="H33" s="3" t="s">
        <v>144</v>
      </c>
      <c r="I33" s="3">
        <v>0</v>
      </c>
      <c r="J3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" s="3" t="str">
        <f>RIGHT(Network_Connections[[#This Row],[port/protocol]],LEN(Network_Connections[[#This Row],[port/protocol]])-FIND("/",Network_Connections[[#This Row],[port/protocol]]))</f>
        <v>0-65535</v>
      </c>
      <c r="L33" s="3">
        <f t="shared" si="0"/>
        <v>0</v>
      </c>
    </row>
    <row r="34" spans="1:12" x14ac:dyDescent="0.2">
      <c r="A34" s="3" t="s">
        <v>170</v>
      </c>
      <c r="B34" s="3" t="str">
        <f xml:space="preserve"> SUBSTITUTE(RIGHT(SUBSTITUTE(Network_Connections[[#This Row],[from]],"_",REPT("*",10)),10),"*","")</f>
        <v>VPNSRV</v>
      </c>
      <c r="C34" s="3" t="str">
        <f>INDEX(Assets[Asset_ID],MATCH(Network_Connections[[#This Row],[From1]],Assets[name],0))</f>
        <v>A00002</v>
      </c>
      <c r="D34" s="3" t="s">
        <v>161</v>
      </c>
      <c r="E34" s="3" t="str">
        <f xml:space="preserve"> SUBSTITUTE(RIGHT(SUBSTITUTE(Network_Connections[[#This Row],[to]],"_",REPT("*",10)),10),"*","")</f>
        <v>Email</v>
      </c>
      <c r="F34" s="3" t="str">
        <f>INDEX(Assets[Asset_ID],MATCH(Network_Connections[[#This Row],[From2]],Assets[name],0))</f>
        <v>A00010</v>
      </c>
      <c r="G34" s="3" t="s">
        <v>145</v>
      </c>
      <c r="H34" s="3" t="s">
        <v>144</v>
      </c>
      <c r="I34" s="3">
        <v>0</v>
      </c>
      <c r="J3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" s="3" t="str">
        <f>RIGHT(Network_Connections[[#This Row],[port/protocol]],LEN(Network_Connections[[#This Row],[port/protocol]])-FIND("/",Network_Connections[[#This Row],[port/protocol]]))</f>
        <v>0-65535</v>
      </c>
      <c r="L34" s="3">
        <f t="shared" si="0"/>
        <v>0</v>
      </c>
    </row>
    <row r="35" spans="1:12" x14ac:dyDescent="0.2">
      <c r="A35" s="3" t="s">
        <v>170</v>
      </c>
      <c r="B35" s="3" t="str">
        <f xml:space="preserve"> SUBSTITUTE(RIGHT(SUBSTITUTE(Network_Connections[[#This Row],[from]],"_",REPT("*",10)),10),"*","")</f>
        <v>VPNSRV</v>
      </c>
      <c r="C35" s="3" t="str">
        <f>INDEX(Assets[Asset_ID],MATCH(Network_Connections[[#This Row],[From1]],Assets[name],0))</f>
        <v>A00002</v>
      </c>
      <c r="D35" s="3" t="s">
        <v>160</v>
      </c>
      <c r="E35" s="3" t="str">
        <f xml:space="preserve"> SUBSTITUTE(RIGHT(SUBSTITUTE(Network_Connections[[#This Row],[to]],"_",REPT("*",10)),10),"*","")</f>
        <v>WMS</v>
      </c>
      <c r="F35" s="3" t="str">
        <f>INDEX(Assets[Asset_ID],MATCH(Network_Connections[[#This Row],[From2]],Assets[name],0))</f>
        <v>A00011</v>
      </c>
      <c r="G35" s="3" t="s">
        <v>145</v>
      </c>
      <c r="H35" s="3" t="s">
        <v>144</v>
      </c>
      <c r="I35" s="3">
        <v>0</v>
      </c>
      <c r="J3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5" s="3" t="str">
        <f>RIGHT(Network_Connections[[#This Row],[port/protocol]],LEN(Network_Connections[[#This Row],[port/protocol]])-FIND("/",Network_Connections[[#This Row],[port/protocol]]))</f>
        <v>0-65535</v>
      </c>
      <c r="L35" s="3">
        <f t="shared" si="0"/>
        <v>0</v>
      </c>
    </row>
    <row r="36" spans="1:12" x14ac:dyDescent="0.2">
      <c r="A36" s="3" t="s">
        <v>170</v>
      </c>
      <c r="B36" s="3" t="str">
        <f xml:space="preserve"> SUBSTITUTE(RIGHT(SUBSTITUTE(Network_Connections[[#This Row],[from]],"_",REPT("*",10)),10),"*","")</f>
        <v>VPNSRV</v>
      </c>
      <c r="C36" s="3" t="str">
        <f>INDEX(Assets[Asset_ID],MATCH(Network_Connections[[#This Row],[From1]],Assets[name],0))</f>
        <v>A00002</v>
      </c>
      <c r="D36" s="3" t="s">
        <v>159</v>
      </c>
      <c r="E36" s="3" t="str">
        <f xml:space="preserve"> SUBSTITUTE(RIGHT(SUBSTITUTE(Network_Connections[[#This Row],[to]],"_",REPT("*",10)),10),"*","")</f>
        <v>CRM</v>
      </c>
      <c r="F36" s="3" t="str">
        <f>INDEX(Assets[Asset_ID],MATCH(Network_Connections[[#This Row],[From2]],Assets[name],0))</f>
        <v>A00012</v>
      </c>
      <c r="G36" s="3" t="s">
        <v>145</v>
      </c>
      <c r="H36" s="3" t="s">
        <v>144</v>
      </c>
      <c r="I36" s="3">
        <v>0</v>
      </c>
      <c r="J3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" s="3" t="str">
        <f>RIGHT(Network_Connections[[#This Row],[port/protocol]],LEN(Network_Connections[[#This Row],[port/protocol]])-FIND("/",Network_Connections[[#This Row],[port/protocol]]))</f>
        <v>0-65535</v>
      </c>
      <c r="L36" s="3">
        <f t="shared" si="0"/>
        <v>0</v>
      </c>
    </row>
    <row r="37" spans="1:12" x14ac:dyDescent="0.2">
      <c r="A37" s="3" t="s">
        <v>170</v>
      </c>
      <c r="B37" s="3" t="str">
        <f xml:space="preserve"> SUBSTITUTE(RIGHT(SUBSTITUTE(Network_Connections[[#This Row],[from]],"_",REPT("*",10)),10),"*","")</f>
        <v>VPNSRV</v>
      </c>
      <c r="C37" s="3" t="str">
        <f>INDEX(Assets[Asset_ID],MATCH(Network_Connections[[#This Row],[From1]],Assets[name],0))</f>
        <v>A00002</v>
      </c>
      <c r="D37" s="3" t="s">
        <v>158</v>
      </c>
      <c r="E37" s="3" t="str">
        <f xml:space="preserve"> SUBSTITUTE(RIGHT(SUBSTITUTE(Network_Connections[[#This Row],[to]],"_",REPT("*",10)),10),"*","")</f>
        <v>WIFI1</v>
      </c>
      <c r="F37" s="3" t="str">
        <f>INDEX(Assets[Asset_ID],MATCH(Network_Connections[[#This Row],[From2]],Assets[name],0))</f>
        <v>A00013</v>
      </c>
      <c r="G37" s="3" t="s">
        <v>145</v>
      </c>
      <c r="H37" s="3" t="s">
        <v>144</v>
      </c>
      <c r="I37" s="3">
        <v>0</v>
      </c>
      <c r="J3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" s="3" t="str">
        <f>RIGHT(Network_Connections[[#This Row],[port/protocol]],LEN(Network_Connections[[#This Row],[port/protocol]])-FIND("/",Network_Connections[[#This Row],[port/protocol]]))</f>
        <v>0-65535</v>
      </c>
      <c r="L37" s="3">
        <f t="shared" si="0"/>
        <v>0</v>
      </c>
    </row>
    <row r="38" spans="1:12" x14ac:dyDescent="0.2">
      <c r="A38" s="3" t="s">
        <v>170</v>
      </c>
      <c r="B38" s="3" t="str">
        <f xml:space="preserve"> SUBSTITUTE(RIGHT(SUBSTITUTE(Network_Connections[[#This Row],[from]],"_",REPT("*",10)),10),"*","")</f>
        <v>VPNSRV</v>
      </c>
      <c r="C38" s="3" t="str">
        <f>INDEX(Assets[Asset_ID],MATCH(Network_Connections[[#This Row],[From1]],Assets[name],0))</f>
        <v>A00002</v>
      </c>
      <c r="D38" s="3" t="s">
        <v>157</v>
      </c>
      <c r="E38" s="3" t="str">
        <f xml:space="preserve"> SUBSTITUTE(RIGHT(SUBSTITUTE(Network_Connections[[#This Row],[to]],"_",REPT("*",10)),10),"*","")</f>
        <v>WS1</v>
      </c>
      <c r="F38" s="3" t="str">
        <f>INDEX(Assets[Asset_ID],MATCH(Network_Connections[[#This Row],[From2]],Assets[name],0))</f>
        <v>A00014</v>
      </c>
      <c r="G38" s="3" t="s">
        <v>145</v>
      </c>
      <c r="H38" s="3" t="s">
        <v>144</v>
      </c>
      <c r="I38" s="3">
        <v>0</v>
      </c>
      <c r="J3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" s="3" t="str">
        <f>RIGHT(Network_Connections[[#This Row],[port/protocol]],LEN(Network_Connections[[#This Row],[port/protocol]])-FIND("/",Network_Connections[[#This Row],[port/protocol]]))</f>
        <v>0-65535</v>
      </c>
      <c r="L38" s="3">
        <f t="shared" si="0"/>
        <v>0</v>
      </c>
    </row>
    <row r="39" spans="1:12" x14ac:dyDescent="0.2">
      <c r="A39" s="3" t="s">
        <v>170</v>
      </c>
      <c r="B39" s="3" t="str">
        <f xml:space="preserve"> SUBSTITUTE(RIGHT(SUBSTITUTE(Network_Connections[[#This Row],[from]],"_",REPT("*",10)),10),"*","")</f>
        <v>VPNSRV</v>
      </c>
      <c r="C39" s="3" t="str">
        <f>INDEX(Assets[Asset_ID],MATCH(Network_Connections[[#This Row],[From1]],Assets[name],0))</f>
        <v>A00002</v>
      </c>
      <c r="D39" s="3" t="s">
        <v>156</v>
      </c>
      <c r="E39" s="3" t="str">
        <f xml:space="preserve"> SUBSTITUTE(RIGHT(SUBSTITUTE(Network_Connections[[#This Row],[to]],"_",REPT("*",10)),10),"*","")</f>
        <v>FW3</v>
      </c>
      <c r="F39" s="3" t="str">
        <f>INDEX(Assets[Asset_ID],MATCH(Network_Connections[[#This Row],[From2]],Assets[name],0))</f>
        <v>A00015</v>
      </c>
      <c r="G39" s="3" t="s">
        <v>145</v>
      </c>
      <c r="H39" s="3" t="s">
        <v>144</v>
      </c>
      <c r="I39" s="3">
        <v>0</v>
      </c>
      <c r="J3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9" s="3" t="str">
        <f>RIGHT(Network_Connections[[#This Row],[port/protocol]],LEN(Network_Connections[[#This Row],[port/protocol]])-FIND("/",Network_Connections[[#This Row],[port/protocol]]))</f>
        <v>0-65535</v>
      </c>
      <c r="L39" s="3">
        <f t="shared" si="0"/>
        <v>0</v>
      </c>
    </row>
    <row r="40" spans="1:12" x14ac:dyDescent="0.2">
      <c r="A40" s="3" t="s">
        <v>170</v>
      </c>
      <c r="B40" s="3" t="str">
        <f xml:space="preserve"> SUBSTITUTE(RIGHT(SUBSTITUTE(Network_Connections[[#This Row],[from]],"_",REPT("*",10)),10),"*","")</f>
        <v>VPNSRV</v>
      </c>
      <c r="C40" s="3" t="str">
        <f>INDEX(Assets[Asset_ID],MATCH(Network_Connections[[#This Row],[From1]],Assets[name],0))</f>
        <v>A00002</v>
      </c>
      <c r="D40" s="3" t="s">
        <v>155</v>
      </c>
      <c r="E40" s="3" t="str">
        <f xml:space="preserve"> SUBSTITUTE(RIGHT(SUBSTITUTE(Network_Connections[[#This Row],[to]],"_",REPT("*",10)),10),"*","")</f>
        <v>SW2</v>
      </c>
      <c r="F40" s="3" t="str">
        <f>INDEX(Assets[Asset_ID],MATCH(Network_Connections[[#This Row],[From2]],Assets[name],0))</f>
        <v>A00016</v>
      </c>
      <c r="G40" s="3" t="s">
        <v>145</v>
      </c>
      <c r="H40" s="3" t="s">
        <v>144</v>
      </c>
      <c r="I40" s="3">
        <v>0</v>
      </c>
      <c r="J4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" s="3" t="str">
        <f>RIGHT(Network_Connections[[#This Row],[port/protocol]],LEN(Network_Connections[[#This Row],[port/protocol]])-FIND("/",Network_Connections[[#This Row],[port/protocol]]))</f>
        <v>0-65535</v>
      </c>
      <c r="L40" s="3">
        <f t="shared" si="0"/>
        <v>0</v>
      </c>
    </row>
    <row r="41" spans="1:12" x14ac:dyDescent="0.2">
      <c r="A41" s="3" t="s">
        <v>170</v>
      </c>
      <c r="B41" s="3" t="str">
        <f xml:space="preserve"> SUBSTITUTE(RIGHT(SUBSTITUTE(Network_Connections[[#This Row],[from]],"_",REPT("*",10)),10),"*","")</f>
        <v>VPNSRV</v>
      </c>
      <c r="C41" s="3" t="str">
        <f>INDEX(Assets[Asset_ID],MATCH(Network_Connections[[#This Row],[From1]],Assets[name],0))</f>
        <v>A00002</v>
      </c>
      <c r="D41" s="3" t="s">
        <v>154</v>
      </c>
      <c r="E41" s="3" t="str">
        <f xml:space="preserve"> SUBSTITUTE(RIGHT(SUBSTITUTE(Network_Connections[[#This Row],[to]],"_",REPT("*",10)),10),"*","")</f>
        <v>WS2</v>
      </c>
      <c r="F41" s="3" t="str">
        <f>INDEX(Assets[Asset_ID],MATCH(Network_Connections[[#This Row],[From2]],Assets[name],0))</f>
        <v>A00017</v>
      </c>
      <c r="G41" s="3" t="s">
        <v>145</v>
      </c>
      <c r="H41" s="3" t="s">
        <v>144</v>
      </c>
      <c r="I41" s="3">
        <v>0</v>
      </c>
      <c r="J4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1" s="3" t="str">
        <f>RIGHT(Network_Connections[[#This Row],[port/protocol]],LEN(Network_Connections[[#This Row],[port/protocol]])-FIND("/",Network_Connections[[#This Row],[port/protocol]]))</f>
        <v>0-65535</v>
      </c>
      <c r="L41" s="3">
        <f t="shared" si="0"/>
        <v>0</v>
      </c>
    </row>
    <row r="42" spans="1:12" x14ac:dyDescent="0.2">
      <c r="A42" s="3" t="s">
        <v>170</v>
      </c>
      <c r="B42" s="3" t="str">
        <f xml:space="preserve"> SUBSTITUTE(RIGHT(SUBSTITUTE(Network_Connections[[#This Row],[from]],"_",REPT("*",10)),10),"*","")</f>
        <v>VPNSRV</v>
      </c>
      <c r="C42" s="3" t="str">
        <f>INDEX(Assets[Asset_ID],MATCH(Network_Connections[[#This Row],[From1]],Assets[name],0))</f>
        <v>A00002</v>
      </c>
      <c r="D42" s="3" t="s">
        <v>153</v>
      </c>
      <c r="E42" s="3" t="str">
        <f xml:space="preserve"> SUBSTITUTE(RIGHT(SUBSTITUTE(Network_Connections[[#This Row],[to]],"_",REPT("*",10)),10),"*","")</f>
        <v>WS3</v>
      </c>
      <c r="F42" s="3" t="str">
        <f>INDEX(Assets[Asset_ID],MATCH(Network_Connections[[#This Row],[From2]],Assets[name],0))</f>
        <v>A00018</v>
      </c>
      <c r="G42" s="3" t="s">
        <v>145</v>
      </c>
      <c r="H42" s="3" t="s">
        <v>144</v>
      </c>
      <c r="I42" s="3">
        <v>0</v>
      </c>
      <c r="J4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2" s="3" t="str">
        <f>RIGHT(Network_Connections[[#This Row],[port/protocol]],LEN(Network_Connections[[#This Row],[port/protocol]])-FIND("/",Network_Connections[[#This Row],[port/protocol]]))</f>
        <v>0-65535</v>
      </c>
      <c r="L42" s="3">
        <f t="shared" si="0"/>
        <v>0</v>
      </c>
    </row>
    <row r="43" spans="1:12" x14ac:dyDescent="0.2">
      <c r="A43" s="3" t="s">
        <v>170</v>
      </c>
      <c r="B43" s="3" t="str">
        <f xml:space="preserve"> SUBSTITUTE(RIGHT(SUBSTITUTE(Network_Connections[[#This Row],[from]],"_",REPT("*",10)),10),"*","")</f>
        <v>VPNSRV</v>
      </c>
      <c r="C43" s="3" t="str">
        <f>INDEX(Assets[Asset_ID],MATCH(Network_Connections[[#This Row],[From1]],Assets[name],0))</f>
        <v>A00002</v>
      </c>
      <c r="D43" s="3" t="s">
        <v>152</v>
      </c>
      <c r="E43" s="3" t="str">
        <f xml:space="preserve"> SUBSTITUTE(RIGHT(SUBSTITUTE(Network_Connections[[#This Row],[to]],"_",REPT("*",10)),10),"*","")</f>
        <v>WS4</v>
      </c>
      <c r="F43" s="3" t="str">
        <f>INDEX(Assets[Asset_ID],MATCH(Network_Connections[[#This Row],[From2]],Assets[name],0))</f>
        <v>A00019</v>
      </c>
      <c r="G43" s="3" t="s">
        <v>145</v>
      </c>
      <c r="H43" s="3" t="s">
        <v>144</v>
      </c>
      <c r="I43" s="3">
        <v>0</v>
      </c>
      <c r="J4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3" s="3" t="str">
        <f>RIGHT(Network_Connections[[#This Row],[port/protocol]],LEN(Network_Connections[[#This Row],[port/protocol]])-FIND("/",Network_Connections[[#This Row],[port/protocol]]))</f>
        <v>0-65535</v>
      </c>
      <c r="L43" s="3">
        <f t="shared" si="0"/>
        <v>0</v>
      </c>
    </row>
    <row r="44" spans="1:12" x14ac:dyDescent="0.2">
      <c r="A44" s="3" t="s">
        <v>170</v>
      </c>
      <c r="B44" s="3" t="str">
        <f xml:space="preserve"> SUBSTITUTE(RIGHT(SUBSTITUTE(Network_Connections[[#This Row],[from]],"_",REPT("*",10)),10),"*","")</f>
        <v>VPNSRV</v>
      </c>
      <c r="C44" s="3" t="str">
        <f>INDEX(Assets[Asset_ID],MATCH(Network_Connections[[#This Row],[From1]],Assets[name],0))</f>
        <v>A00002</v>
      </c>
      <c r="D44" s="3" t="s">
        <v>151</v>
      </c>
      <c r="E44" s="3" t="str">
        <f xml:space="preserve"> SUBSTITUTE(RIGHT(SUBSTITUTE(Network_Connections[[#This Row],[to]],"_",REPT("*",10)),10),"*","")</f>
        <v>FW4</v>
      </c>
      <c r="F44" s="3" t="str">
        <f>INDEX(Assets[Asset_ID],MATCH(Network_Connections[[#This Row],[From2]],Assets[name],0))</f>
        <v>A00020</v>
      </c>
      <c r="G44" s="3" t="s">
        <v>145</v>
      </c>
      <c r="H44" s="3" t="s">
        <v>144</v>
      </c>
      <c r="I44" s="3">
        <v>0</v>
      </c>
      <c r="J4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4" s="3" t="str">
        <f>RIGHT(Network_Connections[[#This Row],[port/protocol]],LEN(Network_Connections[[#This Row],[port/protocol]])-FIND("/",Network_Connections[[#This Row],[port/protocol]]))</f>
        <v>0-65535</v>
      </c>
      <c r="L44" s="3">
        <f t="shared" si="0"/>
        <v>0</v>
      </c>
    </row>
    <row r="45" spans="1:12" x14ac:dyDescent="0.2">
      <c r="A45" s="3" t="s">
        <v>170</v>
      </c>
      <c r="B45" s="3" t="str">
        <f xml:space="preserve"> SUBSTITUTE(RIGHT(SUBSTITUTE(Network_Connections[[#This Row],[from]],"_",REPT("*",10)),10),"*","")</f>
        <v>VPNSRV</v>
      </c>
      <c r="C45" s="3" t="str">
        <f>INDEX(Assets[Asset_ID],MATCH(Network_Connections[[#This Row],[From1]],Assets[name],0))</f>
        <v>A00002</v>
      </c>
      <c r="D45" s="3" t="s">
        <v>150</v>
      </c>
      <c r="E45" s="3" t="str">
        <f xml:space="preserve"> SUBSTITUTE(RIGHT(SUBSTITUTE(Network_Connections[[#This Row],[to]],"_",REPT("*",10)),10),"*","")</f>
        <v>WIFI2</v>
      </c>
      <c r="F45" s="3" t="str">
        <f>INDEX(Assets[Asset_ID],MATCH(Network_Connections[[#This Row],[From2]],Assets[name],0))</f>
        <v>A00021</v>
      </c>
      <c r="G45" s="3" t="s">
        <v>145</v>
      </c>
      <c r="H45" s="3" t="s">
        <v>144</v>
      </c>
      <c r="I45" s="3">
        <v>0</v>
      </c>
      <c r="J4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" s="3" t="str">
        <f>RIGHT(Network_Connections[[#This Row],[port/protocol]],LEN(Network_Connections[[#This Row],[port/protocol]])-FIND("/",Network_Connections[[#This Row],[port/protocol]]))</f>
        <v>0-65535</v>
      </c>
      <c r="L45" s="3">
        <f t="shared" si="0"/>
        <v>0</v>
      </c>
    </row>
    <row r="46" spans="1:12" x14ac:dyDescent="0.2">
      <c r="A46" s="3" t="s">
        <v>170</v>
      </c>
      <c r="B46" s="3" t="str">
        <f xml:space="preserve"> SUBSTITUTE(RIGHT(SUBSTITUTE(Network_Connections[[#This Row],[from]],"_",REPT("*",10)),10),"*","")</f>
        <v>VPNSRV</v>
      </c>
      <c r="C46" s="3" t="str">
        <f>INDEX(Assets[Asset_ID],MATCH(Network_Connections[[#This Row],[From1]],Assets[name],0))</f>
        <v>A00002</v>
      </c>
      <c r="D46" s="3" t="s">
        <v>149</v>
      </c>
      <c r="E46" s="3" t="str">
        <f xml:space="preserve"> SUBSTITUTE(RIGHT(SUBSTITUTE(Network_Connections[[#This Row],[to]],"_",REPT("*",10)),10),"*","")</f>
        <v>WS5</v>
      </c>
      <c r="F46" s="3" t="str">
        <f>INDEX(Assets[Asset_ID],MATCH(Network_Connections[[#This Row],[From2]],Assets[name],0))</f>
        <v>A00022</v>
      </c>
      <c r="G46" s="3" t="s">
        <v>145</v>
      </c>
      <c r="H46" s="3" t="s">
        <v>144</v>
      </c>
      <c r="I46" s="3">
        <v>0</v>
      </c>
      <c r="J4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" s="3" t="str">
        <f>RIGHT(Network_Connections[[#This Row],[port/protocol]],LEN(Network_Connections[[#This Row],[port/protocol]])-FIND("/",Network_Connections[[#This Row],[port/protocol]]))</f>
        <v>0-65535</v>
      </c>
      <c r="L46" s="3">
        <f t="shared" si="0"/>
        <v>0</v>
      </c>
    </row>
    <row r="47" spans="1:12" x14ac:dyDescent="0.2">
      <c r="A47" s="3" t="s">
        <v>170</v>
      </c>
      <c r="B47" s="3" t="str">
        <f xml:space="preserve"> SUBSTITUTE(RIGHT(SUBSTITUTE(Network_Connections[[#This Row],[from]],"_",REPT("*",10)),10),"*","")</f>
        <v>VPNSRV</v>
      </c>
      <c r="C47" s="3" t="str">
        <f>INDEX(Assets[Asset_ID],MATCH(Network_Connections[[#This Row],[From1]],Assets[name],0))</f>
        <v>A00002</v>
      </c>
      <c r="D47" s="3" t="s">
        <v>148</v>
      </c>
      <c r="E47" s="3" t="str">
        <f xml:space="preserve"> SUBSTITUTE(RIGHT(SUBSTITUTE(Network_Connections[[#This Row],[to]],"_",REPT("*",10)),10),"*","")</f>
        <v>WS6</v>
      </c>
      <c r="F47" s="3" t="str">
        <f>INDEX(Assets[Asset_ID],MATCH(Network_Connections[[#This Row],[From2]],Assets[name],0))</f>
        <v>A00023</v>
      </c>
      <c r="G47" s="3" t="s">
        <v>145</v>
      </c>
      <c r="H47" s="3" t="s">
        <v>144</v>
      </c>
      <c r="I47" s="3">
        <v>0</v>
      </c>
      <c r="J4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" s="3" t="str">
        <f>RIGHT(Network_Connections[[#This Row],[port/protocol]],LEN(Network_Connections[[#This Row],[port/protocol]])-FIND("/",Network_Connections[[#This Row],[port/protocol]]))</f>
        <v>0-65535</v>
      </c>
      <c r="L47" s="3">
        <f t="shared" si="0"/>
        <v>0</v>
      </c>
    </row>
    <row r="48" spans="1:12" x14ac:dyDescent="0.2">
      <c r="A48" s="3" t="s">
        <v>170</v>
      </c>
      <c r="B48" s="3" t="str">
        <f xml:space="preserve"> SUBSTITUTE(RIGHT(SUBSTITUTE(Network_Connections[[#This Row],[from]],"_",REPT("*",10)),10),"*","")</f>
        <v>VPNSRV</v>
      </c>
      <c r="C48" s="3" t="str">
        <f>INDEX(Assets[Asset_ID],MATCH(Network_Connections[[#This Row],[From1]],Assets[name],0))</f>
        <v>A00002</v>
      </c>
      <c r="D48" s="3" t="s">
        <v>146</v>
      </c>
      <c r="E48" s="3" t="str">
        <f xml:space="preserve"> SUBSTITUTE(RIGHT(SUBSTITUTE(Network_Connections[[#This Row],[to]],"_",REPT("*",10)),10),"*","")</f>
        <v>WS7</v>
      </c>
      <c r="F48" s="3" t="str">
        <f>INDEX(Assets[Asset_ID],MATCH(Network_Connections[[#This Row],[From2]],Assets[name],0))</f>
        <v>A00024</v>
      </c>
      <c r="G48" s="3" t="s">
        <v>145</v>
      </c>
      <c r="H48" s="3" t="s">
        <v>144</v>
      </c>
      <c r="I48" s="3">
        <v>0</v>
      </c>
      <c r="J4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" s="3" t="str">
        <f>RIGHT(Network_Connections[[#This Row],[port/protocol]],LEN(Network_Connections[[#This Row],[port/protocol]])-FIND("/",Network_Connections[[#This Row],[port/protocol]]))</f>
        <v>0-65535</v>
      </c>
      <c r="L48" s="3">
        <f t="shared" si="0"/>
        <v>0</v>
      </c>
    </row>
    <row r="49" spans="1:12" x14ac:dyDescent="0.2">
      <c r="A49" s="3" t="s">
        <v>170</v>
      </c>
      <c r="B49" s="3" t="str">
        <f xml:space="preserve"> SUBSTITUTE(RIGHT(SUBSTITUTE(Network_Connections[[#This Row],[from]],"_",REPT("*",10)),10),"*","")</f>
        <v>VPNSRV</v>
      </c>
      <c r="C49" s="3" t="str">
        <f>INDEX(Assets[Asset_ID],MATCH(Network_Connections[[#This Row],[From1]],Assets[name],0))</f>
        <v>A00002</v>
      </c>
      <c r="D49" s="3" t="s">
        <v>147</v>
      </c>
      <c r="E49" s="3" t="str">
        <f xml:space="preserve"> SUBSTITUTE(RIGHT(SUBSTITUTE(Network_Connections[[#This Row],[to]],"_",REPT("*",10)),10),"*","")</f>
        <v>WS8</v>
      </c>
      <c r="F49" s="3" t="str">
        <f>INDEX(Assets[Asset_ID],MATCH(Network_Connections[[#This Row],[From2]],Assets[name],0))</f>
        <v>A00025</v>
      </c>
      <c r="G49" s="3" t="s">
        <v>145</v>
      </c>
      <c r="H49" s="3" t="s">
        <v>144</v>
      </c>
      <c r="I49" s="3">
        <v>0</v>
      </c>
      <c r="J4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" s="3" t="str">
        <f>RIGHT(Network_Connections[[#This Row],[port/protocol]],LEN(Network_Connections[[#This Row],[port/protocol]])-FIND("/",Network_Connections[[#This Row],[port/protocol]]))</f>
        <v>0-65535</v>
      </c>
      <c r="L49" s="3">
        <f t="shared" si="0"/>
        <v>0</v>
      </c>
    </row>
    <row r="50" spans="1:12" x14ac:dyDescent="0.2">
      <c r="A50" s="3" t="s">
        <v>169</v>
      </c>
      <c r="B50" s="3" t="str">
        <f xml:space="preserve"> SUBSTITUTE(RIGHT(SUBSTITUTE(Network_Connections[[#This Row],[from]],"_",REPT("*",10)),10),"*","")</f>
        <v>WebSRV1</v>
      </c>
      <c r="C50" s="3" t="str">
        <f>INDEX(Assets[Asset_ID],MATCH(Network_Connections[[#This Row],[From1]],Assets[name],0))</f>
        <v>A00003</v>
      </c>
      <c r="D50" s="3" t="s">
        <v>171</v>
      </c>
      <c r="E50" s="3" t="str">
        <f xml:space="preserve"> SUBSTITUTE(RIGHT(SUBSTITUTE(Network_Connections[[#This Row],[to]],"_",REPT("*",10)),10),"*","")</f>
        <v>FW1</v>
      </c>
      <c r="F50" s="3" t="str">
        <f>INDEX(Assets[Asset_ID],MATCH(Network_Connections[[#This Row],[From2]],Assets[name],0))</f>
        <v>A00001</v>
      </c>
      <c r="G50" s="3" t="s">
        <v>145</v>
      </c>
      <c r="H50" s="3" t="s">
        <v>144</v>
      </c>
      <c r="I50" s="3">
        <v>0</v>
      </c>
      <c r="J5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0" s="3" t="str">
        <f>RIGHT(Network_Connections[[#This Row],[port/protocol]],LEN(Network_Connections[[#This Row],[port/protocol]])-FIND("/",Network_Connections[[#This Row],[port/protocol]]))</f>
        <v>0-65535</v>
      </c>
      <c r="L50" s="3">
        <f t="shared" si="0"/>
        <v>0</v>
      </c>
    </row>
    <row r="51" spans="1:12" x14ac:dyDescent="0.2">
      <c r="A51" s="3" t="s">
        <v>169</v>
      </c>
      <c r="B51" s="3" t="str">
        <f xml:space="preserve"> SUBSTITUTE(RIGHT(SUBSTITUTE(Network_Connections[[#This Row],[from]],"_",REPT("*",10)),10),"*","")</f>
        <v>WebSRV1</v>
      </c>
      <c r="C51" s="3" t="str">
        <f>INDEX(Assets[Asset_ID],MATCH(Network_Connections[[#This Row],[From1]],Assets[name],0))</f>
        <v>A00003</v>
      </c>
      <c r="D51" s="3" t="s">
        <v>170</v>
      </c>
      <c r="E51" s="3" t="str">
        <f xml:space="preserve"> SUBSTITUTE(RIGHT(SUBSTITUTE(Network_Connections[[#This Row],[to]],"_",REPT("*",10)),10),"*","")</f>
        <v>VPNSRV</v>
      </c>
      <c r="F51" s="3" t="str">
        <f>INDEX(Assets[Asset_ID],MATCH(Network_Connections[[#This Row],[From2]],Assets[name],0))</f>
        <v>A00002</v>
      </c>
      <c r="G51" s="3" t="s">
        <v>145</v>
      </c>
      <c r="H51" s="3" t="s">
        <v>144</v>
      </c>
      <c r="I51" s="3">
        <v>1</v>
      </c>
      <c r="J5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"A00003"-&gt;"A00002"@00:("IP", "0-65535");</v>
      </c>
      <c r="K51" s="3" t="str">
        <f>RIGHT(Network_Connections[[#This Row],[port/protocol]],LEN(Network_Connections[[#This Row],[port/protocol]])-FIND("/",Network_Connections[[#This Row],[port/protocol]]))</f>
        <v>0-65535</v>
      </c>
      <c r="L51" s="3">
        <f t="shared" si="0"/>
        <v>0</v>
      </c>
    </row>
    <row r="52" spans="1:12" x14ac:dyDescent="0.2">
      <c r="A52" s="3" t="s">
        <v>169</v>
      </c>
      <c r="B52" s="3" t="str">
        <f xml:space="preserve"> SUBSTITUTE(RIGHT(SUBSTITUTE(Network_Connections[[#This Row],[from]],"_",REPT("*",10)),10),"*","")</f>
        <v>WebSRV1</v>
      </c>
      <c r="C52" s="3" t="str">
        <f>INDEX(Assets[Asset_ID],MATCH(Network_Connections[[#This Row],[From1]],Assets[name],0))</f>
        <v>A00003</v>
      </c>
      <c r="D52" s="3" t="s">
        <v>168</v>
      </c>
      <c r="E52" s="3" t="str">
        <f xml:space="preserve"> SUBSTITUTE(RIGHT(SUBSTITUTE(Network_Connections[[#This Row],[to]],"_",REPT("*",10)),10),"*","")</f>
        <v>WebSRV2</v>
      </c>
      <c r="F52" s="3" t="str">
        <f>INDEX(Assets[Asset_ID],MATCH(Network_Connections[[#This Row],[From2]],Assets[name],0))</f>
        <v>A00004</v>
      </c>
      <c r="G52" s="3" t="s">
        <v>145</v>
      </c>
      <c r="H52" s="3" t="s">
        <v>144</v>
      </c>
      <c r="I52" s="3">
        <v>1</v>
      </c>
      <c r="J5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"A00003"-&gt;"A00004"@00:("IP", "0-65535");</v>
      </c>
      <c r="K52" s="3" t="str">
        <f>RIGHT(Network_Connections[[#This Row],[port/protocol]],LEN(Network_Connections[[#This Row],[port/protocol]])-FIND("/",Network_Connections[[#This Row],[port/protocol]]))</f>
        <v>0-65535</v>
      </c>
      <c r="L52" s="3">
        <f t="shared" si="0"/>
        <v>0</v>
      </c>
    </row>
    <row r="53" spans="1:12" x14ac:dyDescent="0.2">
      <c r="A53" s="3" t="s">
        <v>169</v>
      </c>
      <c r="B53" s="3" t="str">
        <f xml:space="preserve"> SUBSTITUTE(RIGHT(SUBSTITUTE(Network_Connections[[#This Row],[from]],"_",REPT("*",10)),10),"*","")</f>
        <v>WebSRV1</v>
      </c>
      <c r="C53" s="3" t="str">
        <f>INDEX(Assets[Asset_ID],MATCH(Network_Connections[[#This Row],[From1]],Assets[name],0))</f>
        <v>A00003</v>
      </c>
      <c r="D53" s="3" t="s">
        <v>166</v>
      </c>
      <c r="E53" s="3" t="str">
        <f xml:space="preserve"> SUBSTITUTE(RIGHT(SUBSTITUTE(Network_Connections[[#This Row],[to]],"_",REPT("*",10)),10),"*","")</f>
        <v>FW2</v>
      </c>
      <c r="F53" s="3" t="str">
        <f>INDEX(Assets[Asset_ID],MATCH(Network_Connections[[#This Row],[From2]],Assets[name],0))</f>
        <v>A00005</v>
      </c>
      <c r="G53" s="3" t="s">
        <v>145</v>
      </c>
      <c r="H53" s="3" t="s">
        <v>144</v>
      </c>
      <c r="I53" s="3">
        <v>0</v>
      </c>
      <c r="J5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3" s="3" t="str">
        <f>RIGHT(Network_Connections[[#This Row],[port/protocol]],LEN(Network_Connections[[#This Row],[port/protocol]])-FIND("/",Network_Connections[[#This Row],[port/protocol]]))</f>
        <v>0-65535</v>
      </c>
      <c r="L53" s="3">
        <f t="shared" si="0"/>
        <v>0</v>
      </c>
    </row>
    <row r="54" spans="1:12" x14ac:dyDescent="0.2">
      <c r="A54" s="3" t="s">
        <v>169</v>
      </c>
      <c r="B54" s="3" t="str">
        <f xml:space="preserve"> SUBSTITUTE(RIGHT(SUBSTITUTE(Network_Connections[[#This Row],[from]],"_",REPT("*",10)),10),"*","")</f>
        <v>WebSRV1</v>
      </c>
      <c r="C54" s="3" t="str">
        <f>INDEX(Assets[Asset_ID],MATCH(Network_Connections[[#This Row],[From1]],Assets[name],0))</f>
        <v>A00003</v>
      </c>
      <c r="D54" s="3" t="s">
        <v>165</v>
      </c>
      <c r="E54" s="3" t="str">
        <f xml:space="preserve"> SUBSTITUTE(RIGHT(SUBSTITUTE(Network_Connections[[#This Row],[to]],"_",REPT("*",10)),10),"*","")</f>
        <v>SW1</v>
      </c>
      <c r="F54" s="3" t="str">
        <f>INDEX(Assets[Asset_ID],MATCH(Network_Connections[[#This Row],[From2]],Assets[name],0))</f>
        <v>A00006</v>
      </c>
      <c r="G54" s="3" t="s">
        <v>145</v>
      </c>
      <c r="H54" s="3" t="s">
        <v>144</v>
      </c>
      <c r="I54" s="3">
        <v>0</v>
      </c>
      <c r="J5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4" s="3" t="str">
        <f>RIGHT(Network_Connections[[#This Row],[port/protocol]],LEN(Network_Connections[[#This Row],[port/protocol]])-FIND("/",Network_Connections[[#This Row],[port/protocol]]))</f>
        <v>0-65535</v>
      </c>
      <c r="L54" s="3">
        <f t="shared" si="0"/>
        <v>0</v>
      </c>
    </row>
    <row r="55" spans="1:12" x14ac:dyDescent="0.2">
      <c r="A55" s="3" t="s">
        <v>169</v>
      </c>
      <c r="B55" s="3" t="str">
        <f xml:space="preserve"> SUBSTITUTE(RIGHT(SUBSTITUTE(Network_Connections[[#This Row],[from]],"_",REPT("*",10)),10),"*","")</f>
        <v>WebSRV1</v>
      </c>
      <c r="C55" s="3" t="str">
        <f>INDEX(Assets[Asset_ID],MATCH(Network_Connections[[#This Row],[From1]],Assets[name],0))</f>
        <v>A00003</v>
      </c>
      <c r="D55" s="3" t="s">
        <v>164</v>
      </c>
      <c r="E55" s="3" t="str">
        <f xml:space="preserve"> SUBSTITUTE(RIGHT(SUBSTITUTE(Network_Connections[[#This Row],[to]],"_",REPT("*",10)),10),"*","")</f>
        <v>AD</v>
      </c>
      <c r="F55" s="3" t="str">
        <f>INDEX(Assets[Asset_ID],MATCH(Network_Connections[[#This Row],[From2]],Assets[name],0))</f>
        <v>A00007</v>
      </c>
      <c r="G55" s="3" t="s">
        <v>145</v>
      </c>
      <c r="H55" s="3" t="s">
        <v>144</v>
      </c>
      <c r="I55" s="3">
        <v>0</v>
      </c>
      <c r="J5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5" s="3" t="str">
        <f>RIGHT(Network_Connections[[#This Row],[port/protocol]],LEN(Network_Connections[[#This Row],[port/protocol]])-FIND("/",Network_Connections[[#This Row],[port/protocol]]))</f>
        <v>0-65535</v>
      </c>
      <c r="L55" s="3">
        <f t="shared" si="0"/>
        <v>0</v>
      </c>
    </row>
    <row r="56" spans="1:12" x14ac:dyDescent="0.2">
      <c r="A56" s="3" t="s">
        <v>169</v>
      </c>
      <c r="B56" s="3" t="str">
        <f xml:space="preserve"> SUBSTITUTE(RIGHT(SUBSTITUTE(Network_Connections[[#This Row],[from]],"_",REPT("*",10)),10),"*","")</f>
        <v>WebSRV1</v>
      </c>
      <c r="C56" s="3" t="str">
        <f>INDEX(Assets[Asset_ID],MATCH(Network_Connections[[#This Row],[From1]],Assets[name],0))</f>
        <v>A00003</v>
      </c>
      <c r="D56" s="3" t="s">
        <v>163</v>
      </c>
      <c r="E56" s="3" t="str">
        <f xml:space="preserve"> SUBSTITUTE(RIGHT(SUBSTITUTE(Network_Connections[[#This Row],[to]],"_",REPT("*",10)),10),"*","")</f>
        <v>ERP</v>
      </c>
      <c r="F56" s="3" t="str">
        <f>INDEX(Assets[Asset_ID],MATCH(Network_Connections[[#This Row],[From2]],Assets[name],0))</f>
        <v>A00008</v>
      </c>
      <c r="G56" s="3" t="s">
        <v>145</v>
      </c>
      <c r="H56" s="3" t="s">
        <v>144</v>
      </c>
      <c r="I56" s="3">
        <v>0</v>
      </c>
      <c r="J5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" s="3" t="str">
        <f>RIGHT(Network_Connections[[#This Row],[port/protocol]],LEN(Network_Connections[[#This Row],[port/protocol]])-FIND("/",Network_Connections[[#This Row],[port/protocol]]))</f>
        <v>0-65535</v>
      </c>
      <c r="L56" s="3">
        <f t="shared" si="0"/>
        <v>0</v>
      </c>
    </row>
    <row r="57" spans="1:12" x14ac:dyDescent="0.2">
      <c r="A57" s="3" t="s">
        <v>169</v>
      </c>
      <c r="B57" s="3" t="str">
        <f xml:space="preserve"> SUBSTITUTE(RIGHT(SUBSTITUTE(Network_Connections[[#This Row],[from]],"_",REPT("*",10)),10),"*","")</f>
        <v>WebSRV1</v>
      </c>
      <c r="C57" s="3" t="str">
        <f>INDEX(Assets[Asset_ID],MATCH(Network_Connections[[#This Row],[From1]],Assets[name],0))</f>
        <v>A00003</v>
      </c>
      <c r="D57" s="3" t="s">
        <v>162</v>
      </c>
      <c r="E57" s="3" t="str">
        <f xml:space="preserve"> SUBSTITUTE(RIGHT(SUBSTITUTE(Network_Connections[[#This Row],[to]],"_",REPT("*",10)),10),"*","")</f>
        <v>Banking</v>
      </c>
      <c r="F57" s="3" t="str">
        <f>INDEX(Assets[Asset_ID],MATCH(Network_Connections[[#This Row],[From2]],Assets[name],0))</f>
        <v>A00009</v>
      </c>
      <c r="G57" s="3" t="s">
        <v>145</v>
      </c>
      <c r="H57" s="3" t="s">
        <v>144</v>
      </c>
      <c r="I57" s="3">
        <v>0</v>
      </c>
      <c r="J5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" s="3" t="str">
        <f>RIGHT(Network_Connections[[#This Row],[port/protocol]],LEN(Network_Connections[[#This Row],[port/protocol]])-FIND("/",Network_Connections[[#This Row],[port/protocol]]))</f>
        <v>0-65535</v>
      </c>
      <c r="L57" s="3">
        <f t="shared" si="0"/>
        <v>0</v>
      </c>
    </row>
    <row r="58" spans="1:12" x14ac:dyDescent="0.2">
      <c r="A58" s="3" t="s">
        <v>169</v>
      </c>
      <c r="B58" s="3" t="str">
        <f xml:space="preserve"> SUBSTITUTE(RIGHT(SUBSTITUTE(Network_Connections[[#This Row],[from]],"_",REPT("*",10)),10),"*","")</f>
        <v>WebSRV1</v>
      </c>
      <c r="C58" s="3" t="str">
        <f>INDEX(Assets[Asset_ID],MATCH(Network_Connections[[#This Row],[From1]],Assets[name],0))</f>
        <v>A00003</v>
      </c>
      <c r="D58" s="3" t="s">
        <v>161</v>
      </c>
      <c r="E58" s="3" t="str">
        <f xml:space="preserve"> SUBSTITUTE(RIGHT(SUBSTITUTE(Network_Connections[[#This Row],[to]],"_",REPT("*",10)),10),"*","")</f>
        <v>Email</v>
      </c>
      <c r="F58" s="3" t="str">
        <f>INDEX(Assets[Asset_ID],MATCH(Network_Connections[[#This Row],[From2]],Assets[name],0))</f>
        <v>A00010</v>
      </c>
      <c r="G58" s="3" t="s">
        <v>145</v>
      </c>
      <c r="H58" s="3" t="s">
        <v>212</v>
      </c>
      <c r="I58" s="3">
        <v>1</v>
      </c>
      <c r="J5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"A00003"-&gt;"A00010"@00:("TCP", "25");</v>
      </c>
      <c r="K58" s="3" t="str">
        <f>RIGHT(Network_Connections[[#This Row],[port/protocol]],LEN(Network_Connections[[#This Row],[port/protocol]])-FIND("/",Network_Connections[[#This Row],[port/protocol]]))</f>
        <v>25</v>
      </c>
      <c r="L58" s="3">
        <f t="shared" si="0"/>
        <v>0</v>
      </c>
    </row>
    <row r="59" spans="1:12" x14ac:dyDescent="0.2">
      <c r="A59" s="3" t="s">
        <v>168</v>
      </c>
      <c r="B59" s="3" t="str">
        <f xml:space="preserve"> SUBSTITUTE(RIGHT(SUBSTITUTE(Network_Connections[[#This Row],[from]],"_",REPT("*",10)),10),"*","")</f>
        <v>WebSRV2</v>
      </c>
      <c r="C59" s="3" t="str">
        <f>INDEX(Assets[Asset_ID],MATCH(Network_Connections[[#This Row],[From1]],Assets[name],0))</f>
        <v>A00004</v>
      </c>
      <c r="D59" s="3" t="s">
        <v>161</v>
      </c>
      <c r="E59" s="3" t="str">
        <f xml:space="preserve"> SUBSTITUTE(RIGHT(SUBSTITUTE(Network_Connections[[#This Row],[to]],"_",REPT("*",10)),10),"*","")</f>
        <v>Email</v>
      </c>
      <c r="F59" s="3" t="str">
        <f>INDEX(Assets[Asset_ID],MATCH(Network_Connections[[#This Row],[From2]],Assets[name],0))</f>
        <v>A00010</v>
      </c>
      <c r="G59" s="3" t="s">
        <v>145</v>
      </c>
      <c r="H59" s="3" t="s">
        <v>167</v>
      </c>
      <c r="I59" s="3">
        <v>1</v>
      </c>
      <c r="J5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"A00004"-&gt;"A00010"@00:("TCP", "443");</v>
      </c>
      <c r="K59" s="3" t="str">
        <f>RIGHT(Network_Connections[[#This Row],[port/protocol]],LEN(Network_Connections[[#This Row],[port/protocol]])-FIND("/",Network_Connections[[#This Row],[port/protocol]]))</f>
        <v>443</v>
      </c>
      <c r="L59" s="3">
        <f t="shared" si="0"/>
        <v>0</v>
      </c>
    </row>
    <row r="60" spans="1:12" x14ac:dyDescent="0.2">
      <c r="A60" s="3" t="s">
        <v>169</v>
      </c>
      <c r="B60" s="3" t="str">
        <f xml:space="preserve"> SUBSTITUTE(RIGHT(SUBSTITUTE(Network_Connections[[#This Row],[from]],"_",REPT("*",10)),10),"*","")</f>
        <v>WebSRV1</v>
      </c>
      <c r="C60" s="3" t="str">
        <f>INDEX(Assets[Asset_ID],MATCH(Network_Connections[[#This Row],[From1]],Assets[name],0))</f>
        <v>A00003</v>
      </c>
      <c r="D60" s="3" t="s">
        <v>160</v>
      </c>
      <c r="E60" s="3" t="str">
        <f xml:space="preserve"> SUBSTITUTE(RIGHT(SUBSTITUTE(Network_Connections[[#This Row],[to]],"_",REPT("*",10)),10),"*","")</f>
        <v>WMS</v>
      </c>
      <c r="F60" s="3" t="str">
        <f>INDEX(Assets[Asset_ID],MATCH(Network_Connections[[#This Row],[From2]],Assets[name],0))</f>
        <v>A00011</v>
      </c>
      <c r="G60" s="3" t="s">
        <v>145</v>
      </c>
      <c r="H60" s="3" t="s">
        <v>144</v>
      </c>
      <c r="I60" s="3">
        <v>0</v>
      </c>
      <c r="J6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0" s="3" t="str">
        <f>RIGHT(Network_Connections[[#This Row],[port/protocol]],LEN(Network_Connections[[#This Row],[port/protocol]])-FIND("/",Network_Connections[[#This Row],[port/protocol]]))</f>
        <v>0-65535</v>
      </c>
      <c r="L60" s="3">
        <f t="shared" si="0"/>
        <v>0</v>
      </c>
    </row>
    <row r="61" spans="1:12" x14ac:dyDescent="0.2">
      <c r="A61" s="3" t="s">
        <v>169</v>
      </c>
      <c r="B61" s="3" t="str">
        <f xml:space="preserve"> SUBSTITUTE(RIGHT(SUBSTITUTE(Network_Connections[[#This Row],[from]],"_",REPT("*",10)),10),"*","")</f>
        <v>WebSRV1</v>
      </c>
      <c r="C61" s="3" t="str">
        <f>INDEX(Assets[Asset_ID],MATCH(Network_Connections[[#This Row],[From1]],Assets[name],0))</f>
        <v>A00003</v>
      </c>
      <c r="D61" s="3" t="s">
        <v>159</v>
      </c>
      <c r="E61" s="3" t="str">
        <f xml:space="preserve"> SUBSTITUTE(RIGHT(SUBSTITUTE(Network_Connections[[#This Row],[to]],"_",REPT("*",10)),10),"*","")</f>
        <v>CRM</v>
      </c>
      <c r="F61" s="3" t="str">
        <f>INDEX(Assets[Asset_ID],MATCH(Network_Connections[[#This Row],[From2]],Assets[name],0))</f>
        <v>A00012</v>
      </c>
      <c r="G61" s="3" t="s">
        <v>145</v>
      </c>
      <c r="H61" s="3" t="s">
        <v>144</v>
      </c>
      <c r="I61" s="3">
        <v>0</v>
      </c>
      <c r="J6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1" s="3" t="str">
        <f>RIGHT(Network_Connections[[#This Row],[port/protocol]],LEN(Network_Connections[[#This Row],[port/protocol]])-FIND("/",Network_Connections[[#This Row],[port/protocol]]))</f>
        <v>0-65535</v>
      </c>
      <c r="L61" s="3">
        <f t="shared" si="0"/>
        <v>0</v>
      </c>
    </row>
    <row r="62" spans="1:12" x14ac:dyDescent="0.2">
      <c r="A62" s="3" t="s">
        <v>169</v>
      </c>
      <c r="B62" s="3" t="str">
        <f xml:space="preserve"> SUBSTITUTE(RIGHT(SUBSTITUTE(Network_Connections[[#This Row],[from]],"_",REPT("*",10)),10),"*","")</f>
        <v>WebSRV1</v>
      </c>
      <c r="C62" s="3" t="str">
        <f>INDEX(Assets[Asset_ID],MATCH(Network_Connections[[#This Row],[From1]],Assets[name],0))</f>
        <v>A00003</v>
      </c>
      <c r="D62" s="3" t="s">
        <v>158</v>
      </c>
      <c r="E62" s="3" t="str">
        <f xml:space="preserve"> SUBSTITUTE(RIGHT(SUBSTITUTE(Network_Connections[[#This Row],[to]],"_",REPT("*",10)),10),"*","")</f>
        <v>WIFI1</v>
      </c>
      <c r="F62" s="3" t="str">
        <f>INDEX(Assets[Asset_ID],MATCH(Network_Connections[[#This Row],[From2]],Assets[name],0))</f>
        <v>A00013</v>
      </c>
      <c r="G62" s="3" t="s">
        <v>145</v>
      </c>
      <c r="H62" s="3" t="s">
        <v>144</v>
      </c>
      <c r="I62" s="3">
        <v>0</v>
      </c>
      <c r="J6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2" s="3" t="str">
        <f>RIGHT(Network_Connections[[#This Row],[port/protocol]],LEN(Network_Connections[[#This Row],[port/protocol]])-FIND("/",Network_Connections[[#This Row],[port/protocol]]))</f>
        <v>0-65535</v>
      </c>
      <c r="L62" s="3">
        <f t="shared" si="0"/>
        <v>0</v>
      </c>
    </row>
    <row r="63" spans="1:12" x14ac:dyDescent="0.2">
      <c r="A63" s="3" t="s">
        <v>169</v>
      </c>
      <c r="B63" s="3" t="str">
        <f xml:space="preserve"> SUBSTITUTE(RIGHT(SUBSTITUTE(Network_Connections[[#This Row],[from]],"_",REPT("*",10)),10),"*","")</f>
        <v>WebSRV1</v>
      </c>
      <c r="C63" s="3" t="str">
        <f>INDEX(Assets[Asset_ID],MATCH(Network_Connections[[#This Row],[From1]],Assets[name],0))</f>
        <v>A00003</v>
      </c>
      <c r="D63" s="3" t="s">
        <v>157</v>
      </c>
      <c r="E63" s="3" t="str">
        <f xml:space="preserve"> SUBSTITUTE(RIGHT(SUBSTITUTE(Network_Connections[[#This Row],[to]],"_",REPT("*",10)),10),"*","")</f>
        <v>WS1</v>
      </c>
      <c r="F63" s="3" t="str">
        <f>INDEX(Assets[Asset_ID],MATCH(Network_Connections[[#This Row],[From2]],Assets[name],0))</f>
        <v>A00014</v>
      </c>
      <c r="G63" s="3" t="s">
        <v>145</v>
      </c>
      <c r="H63" s="3" t="s">
        <v>144</v>
      </c>
      <c r="I63" s="3">
        <v>0</v>
      </c>
      <c r="J6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3" s="3" t="str">
        <f>RIGHT(Network_Connections[[#This Row],[port/protocol]],LEN(Network_Connections[[#This Row],[port/protocol]])-FIND("/",Network_Connections[[#This Row],[port/protocol]]))</f>
        <v>0-65535</v>
      </c>
      <c r="L63" s="3">
        <f t="shared" si="0"/>
        <v>0</v>
      </c>
    </row>
    <row r="64" spans="1:12" x14ac:dyDescent="0.2">
      <c r="A64" s="3" t="s">
        <v>169</v>
      </c>
      <c r="B64" s="3" t="str">
        <f xml:space="preserve"> SUBSTITUTE(RIGHT(SUBSTITUTE(Network_Connections[[#This Row],[from]],"_",REPT("*",10)),10),"*","")</f>
        <v>WebSRV1</v>
      </c>
      <c r="C64" s="3" t="str">
        <f>INDEX(Assets[Asset_ID],MATCH(Network_Connections[[#This Row],[From1]],Assets[name],0))</f>
        <v>A00003</v>
      </c>
      <c r="D64" s="3" t="s">
        <v>156</v>
      </c>
      <c r="E64" s="3" t="str">
        <f xml:space="preserve"> SUBSTITUTE(RIGHT(SUBSTITUTE(Network_Connections[[#This Row],[to]],"_",REPT("*",10)),10),"*","")</f>
        <v>FW3</v>
      </c>
      <c r="F64" s="3" t="str">
        <f>INDEX(Assets[Asset_ID],MATCH(Network_Connections[[#This Row],[From2]],Assets[name],0))</f>
        <v>A00015</v>
      </c>
      <c r="G64" s="3" t="s">
        <v>145</v>
      </c>
      <c r="H64" s="3" t="s">
        <v>144</v>
      </c>
      <c r="I64" s="3">
        <v>0</v>
      </c>
      <c r="J6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4" s="3" t="str">
        <f>RIGHT(Network_Connections[[#This Row],[port/protocol]],LEN(Network_Connections[[#This Row],[port/protocol]])-FIND("/",Network_Connections[[#This Row],[port/protocol]]))</f>
        <v>0-65535</v>
      </c>
      <c r="L64" s="3">
        <f t="shared" si="0"/>
        <v>0</v>
      </c>
    </row>
    <row r="65" spans="1:12" x14ac:dyDescent="0.2">
      <c r="A65" s="3" t="s">
        <v>169</v>
      </c>
      <c r="B65" s="3" t="str">
        <f xml:space="preserve"> SUBSTITUTE(RIGHT(SUBSTITUTE(Network_Connections[[#This Row],[from]],"_",REPT("*",10)),10),"*","")</f>
        <v>WebSRV1</v>
      </c>
      <c r="C65" s="3" t="str">
        <f>INDEX(Assets[Asset_ID],MATCH(Network_Connections[[#This Row],[From1]],Assets[name],0))</f>
        <v>A00003</v>
      </c>
      <c r="D65" s="3" t="s">
        <v>155</v>
      </c>
      <c r="E65" s="3" t="str">
        <f xml:space="preserve"> SUBSTITUTE(RIGHT(SUBSTITUTE(Network_Connections[[#This Row],[to]],"_",REPT("*",10)),10),"*","")</f>
        <v>SW2</v>
      </c>
      <c r="F65" s="3" t="str">
        <f>INDEX(Assets[Asset_ID],MATCH(Network_Connections[[#This Row],[From2]],Assets[name],0))</f>
        <v>A00016</v>
      </c>
      <c r="G65" s="3" t="s">
        <v>145</v>
      </c>
      <c r="H65" s="3" t="s">
        <v>144</v>
      </c>
      <c r="I65" s="3">
        <v>0</v>
      </c>
      <c r="J6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5" s="3" t="str">
        <f>RIGHT(Network_Connections[[#This Row],[port/protocol]],LEN(Network_Connections[[#This Row],[port/protocol]])-FIND("/",Network_Connections[[#This Row],[port/protocol]]))</f>
        <v>0-65535</v>
      </c>
      <c r="L65" s="3">
        <f t="shared" si="0"/>
        <v>0</v>
      </c>
    </row>
    <row r="66" spans="1:12" x14ac:dyDescent="0.2">
      <c r="A66" s="3" t="s">
        <v>169</v>
      </c>
      <c r="B66" s="3" t="str">
        <f xml:space="preserve"> SUBSTITUTE(RIGHT(SUBSTITUTE(Network_Connections[[#This Row],[from]],"_",REPT("*",10)),10),"*","")</f>
        <v>WebSRV1</v>
      </c>
      <c r="C66" s="3" t="str">
        <f>INDEX(Assets[Asset_ID],MATCH(Network_Connections[[#This Row],[From1]],Assets[name],0))</f>
        <v>A00003</v>
      </c>
      <c r="D66" s="3" t="s">
        <v>154</v>
      </c>
      <c r="E66" s="3" t="str">
        <f xml:space="preserve"> SUBSTITUTE(RIGHT(SUBSTITUTE(Network_Connections[[#This Row],[to]],"_",REPT("*",10)),10),"*","")</f>
        <v>WS2</v>
      </c>
      <c r="F66" s="3" t="str">
        <f>INDEX(Assets[Asset_ID],MATCH(Network_Connections[[#This Row],[From2]],Assets[name],0))</f>
        <v>A00017</v>
      </c>
      <c r="G66" s="3" t="s">
        <v>145</v>
      </c>
      <c r="H66" s="3" t="s">
        <v>144</v>
      </c>
      <c r="I66" s="3">
        <v>0</v>
      </c>
      <c r="J6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6" s="3" t="str">
        <f>RIGHT(Network_Connections[[#This Row],[port/protocol]],LEN(Network_Connections[[#This Row],[port/protocol]])-FIND("/",Network_Connections[[#This Row],[port/protocol]]))</f>
        <v>0-65535</v>
      </c>
      <c r="L66" s="3">
        <f t="shared" ref="L66:L129" si="2">IF(AND(C66=C65, F66=F65), L65+1, 0)</f>
        <v>0</v>
      </c>
    </row>
    <row r="67" spans="1:12" x14ac:dyDescent="0.2">
      <c r="A67" s="3" t="s">
        <v>169</v>
      </c>
      <c r="B67" s="3" t="str">
        <f xml:space="preserve"> SUBSTITUTE(RIGHT(SUBSTITUTE(Network_Connections[[#This Row],[from]],"_",REPT("*",10)),10),"*","")</f>
        <v>WebSRV1</v>
      </c>
      <c r="C67" s="3" t="str">
        <f>INDEX(Assets[Asset_ID],MATCH(Network_Connections[[#This Row],[From1]],Assets[name],0))</f>
        <v>A00003</v>
      </c>
      <c r="D67" s="3" t="s">
        <v>153</v>
      </c>
      <c r="E67" s="3" t="str">
        <f xml:space="preserve"> SUBSTITUTE(RIGHT(SUBSTITUTE(Network_Connections[[#This Row],[to]],"_",REPT("*",10)),10),"*","")</f>
        <v>WS3</v>
      </c>
      <c r="F67" s="3" t="str">
        <f>INDEX(Assets[Asset_ID],MATCH(Network_Connections[[#This Row],[From2]],Assets[name],0))</f>
        <v>A00018</v>
      </c>
      <c r="G67" s="3" t="s">
        <v>145</v>
      </c>
      <c r="H67" s="3" t="s">
        <v>144</v>
      </c>
      <c r="I67" s="3">
        <v>0</v>
      </c>
      <c r="J6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7" s="3" t="str">
        <f>RIGHT(Network_Connections[[#This Row],[port/protocol]],LEN(Network_Connections[[#This Row],[port/protocol]])-FIND("/",Network_Connections[[#This Row],[port/protocol]]))</f>
        <v>0-65535</v>
      </c>
      <c r="L67" s="3">
        <f t="shared" si="2"/>
        <v>0</v>
      </c>
    </row>
    <row r="68" spans="1:12" x14ac:dyDescent="0.2">
      <c r="A68" s="3" t="s">
        <v>169</v>
      </c>
      <c r="B68" s="3" t="str">
        <f xml:space="preserve"> SUBSTITUTE(RIGHT(SUBSTITUTE(Network_Connections[[#This Row],[from]],"_",REPT("*",10)),10),"*","")</f>
        <v>WebSRV1</v>
      </c>
      <c r="C68" s="3" t="str">
        <f>INDEX(Assets[Asset_ID],MATCH(Network_Connections[[#This Row],[From1]],Assets[name],0))</f>
        <v>A00003</v>
      </c>
      <c r="D68" s="3" t="s">
        <v>152</v>
      </c>
      <c r="E68" s="3" t="str">
        <f xml:space="preserve"> SUBSTITUTE(RIGHT(SUBSTITUTE(Network_Connections[[#This Row],[to]],"_",REPT("*",10)),10),"*","")</f>
        <v>WS4</v>
      </c>
      <c r="F68" s="3" t="str">
        <f>INDEX(Assets[Asset_ID],MATCH(Network_Connections[[#This Row],[From2]],Assets[name],0))</f>
        <v>A00019</v>
      </c>
      <c r="G68" s="3" t="s">
        <v>145</v>
      </c>
      <c r="H68" s="3" t="s">
        <v>144</v>
      </c>
      <c r="I68" s="3">
        <v>0</v>
      </c>
      <c r="J6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8" s="3" t="str">
        <f>RIGHT(Network_Connections[[#This Row],[port/protocol]],LEN(Network_Connections[[#This Row],[port/protocol]])-FIND("/",Network_Connections[[#This Row],[port/protocol]]))</f>
        <v>0-65535</v>
      </c>
      <c r="L68" s="3">
        <f t="shared" si="2"/>
        <v>0</v>
      </c>
    </row>
    <row r="69" spans="1:12" x14ac:dyDescent="0.2">
      <c r="A69" s="3" t="s">
        <v>169</v>
      </c>
      <c r="B69" s="3" t="str">
        <f xml:space="preserve"> SUBSTITUTE(RIGHT(SUBSTITUTE(Network_Connections[[#This Row],[from]],"_",REPT("*",10)),10),"*","")</f>
        <v>WebSRV1</v>
      </c>
      <c r="C69" s="3" t="str">
        <f>INDEX(Assets[Asset_ID],MATCH(Network_Connections[[#This Row],[From1]],Assets[name],0))</f>
        <v>A00003</v>
      </c>
      <c r="D69" s="3" t="s">
        <v>151</v>
      </c>
      <c r="E69" s="3" t="str">
        <f xml:space="preserve"> SUBSTITUTE(RIGHT(SUBSTITUTE(Network_Connections[[#This Row],[to]],"_",REPT("*",10)),10),"*","")</f>
        <v>FW4</v>
      </c>
      <c r="F69" s="3" t="str">
        <f>INDEX(Assets[Asset_ID],MATCH(Network_Connections[[#This Row],[From2]],Assets[name],0))</f>
        <v>A00020</v>
      </c>
      <c r="G69" s="3" t="s">
        <v>145</v>
      </c>
      <c r="H69" s="3" t="s">
        <v>144</v>
      </c>
      <c r="I69" s="3">
        <v>0</v>
      </c>
      <c r="J6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9" s="3" t="str">
        <f>RIGHT(Network_Connections[[#This Row],[port/protocol]],LEN(Network_Connections[[#This Row],[port/protocol]])-FIND("/",Network_Connections[[#This Row],[port/protocol]]))</f>
        <v>0-65535</v>
      </c>
      <c r="L69" s="3">
        <f t="shared" si="2"/>
        <v>0</v>
      </c>
    </row>
    <row r="70" spans="1:12" x14ac:dyDescent="0.2">
      <c r="A70" s="3" t="s">
        <v>169</v>
      </c>
      <c r="B70" s="3" t="str">
        <f xml:space="preserve"> SUBSTITUTE(RIGHT(SUBSTITUTE(Network_Connections[[#This Row],[from]],"_",REPT("*",10)),10),"*","")</f>
        <v>WebSRV1</v>
      </c>
      <c r="C70" s="3" t="str">
        <f>INDEX(Assets[Asset_ID],MATCH(Network_Connections[[#This Row],[From1]],Assets[name],0))</f>
        <v>A00003</v>
      </c>
      <c r="D70" s="3" t="s">
        <v>150</v>
      </c>
      <c r="E70" s="3" t="str">
        <f xml:space="preserve"> SUBSTITUTE(RIGHT(SUBSTITUTE(Network_Connections[[#This Row],[to]],"_",REPT("*",10)),10),"*","")</f>
        <v>WIFI2</v>
      </c>
      <c r="F70" s="3" t="str">
        <f>INDEX(Assets[Asset_ID],MATCH(Network_Connections[[#This Row],[From2]],Assets[name],0))</f>
        <v>A00021</v>
      </c>
      <c r="G70" s="3" t="s">
        <v>145</v>
      </c>
      <c r="H70" s="3" t="s">
        <v>144</v>
      </c>
      <c r="I70" s="3">
        <v>0</v>
      </c>
      <c r="J7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0" s="3" t="str">
        <f>RIGHT(Network_Connections[[#This Row],[port/protocol]],LEN(Network_Connections[[#This Row],[port/protocol]])-FIND("/",Network_Connections[[#This Row],[port/protocol]]))</f>
        <v>0-65535</v>
      </c>
      <c r="L70" s="3">
        <f t="shared" si="2"/>
        <v>0</v>
      </c>
    </row>
    <row r="71" spans="1:12" x14ac:dyDescent="0.2">
      <c r="A71" s="3" t="s">
        <v>169</v>
      </c>
      <c r="B71" s="3" t="str">
        <f xml:space="preserve"> SUBSTITUTE(RIGHT(SUBSTITUTE(Network_Connections[[#This Row],[from]],"_",REPT("*",10)),10),"*","")</f>
        <v>WebSRV1</v>
      </c>
      <c r="C71" s="3" t="str">
        <f>INDEX(Assets[Asset_ID],MATCH(Network_Connections[[#This Row],[From1]],Assets[name],0))</f>
        <v>A00003</v>
      </c>
      <c r="D71" s="3" t="s">
        <v>149</v>
      </c>
      <c r="E71" s="3" t="str">
        <f xml:space="preserve"> SUBSTITUTE(RIGHT(SUBSTITUTE(Network_Connections[[#This Row],[to]],"_",REPT("*",10)),10),"*","")</f>
        <v>WS5</v>
      </c>
      <c r="F71" s="3" t="str">
        <f>INDEX(Assets[Asset_ID],MATCH(Network_Connections[[#This Row],[From2]],Assets[name],0))</f>
        <v>A00022</v>
      </c>
      <c r="G71" s="3" t="s">
        <v>145</v>
      </c>
      <c r="H71" s="3" t="s">
        <v>144</v>
      </c>
      <c r="I71" s="3">
        <v>0</v>
      </c>
      <c r="J7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1" s="3" t="str">
        <f>RIGHT(Network_Connections[[#This Row],[port/protocol]],LEN(Network_Connections[[#This Row],[port/protocol]])-FIND("/",Network_Connections[[#This Row],[port/protocol]]))</f>
        <v>0-65535</v>
      </c>
      <c r="L71" s="3">
        <f t="shared" si="2"/>
        <v>0</v>
      </c>
    </row>
    <row r="72" spans="1:12" x14ac:dyDescent="0.2">
      <c r="A72" s="3" t="s">
        <v>169</v>
      </c>
      <c r="B72" s="3" t="str">
        <f xml:space="preserve"> SUBSTITUTE(RIGHT(SUBSTITUTE(Network_Connections[[#This Row],[from]],"_",REPT("*",10)),10),"*","")</f>
        <v>WebSRV1</v>
      </c>
      <c r="C72" s="3" t="str">
        <f>INDEX(Assets[Asset_ID],MATCH(Network_Connections[[#This Row],[From1]],Assets[name],0))</f>
        <v>A00003</v>
      </c>
      <c r="D72" s="3" t="s">
        <v>148</v>
      </c>
      <c r="E72" s="3" t="str">
        <f xml:space="preserve"> SUBSTITUTE(RIGHT(SUBSTITUTE(Network_Connections[[#This Row],[to]],"_",REPT("*",10)),10),"*","")</f>
        <v>WS6</v>
      </c>
      <c r="F72" s="3" t="str">
        <f>INDEX(Assets[Asset_ID],MATCH(Network_Connections[[#This Row],[From2]],Assets[name],0))</f>
        <v>A00023</v>
      </c>
      <c r="G72" s="3" t="s">
        <v>145</v>
      </c>
      <c r="H72" s="3" t="s">
        <v>144</v>
      </c>
      <c r="I72" s="3">
        <v>0</v>
      </c>
      <c r="J7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2" s="3" t="str">
        <f>RIGHT(Network_Connections[[#This Row],[port/protocol]],LEN(Network_Connections[[#This Row],[port/protocol]])-FIND("/",Network_Connections[[#This Row],[port/protocol]]))</f>
        <v>0-65535</v>
      </c>
      <c r="L72" s="3">
        <f t="shared" si="2"/>
        <v>0</v>
      </c>
    </row>
    <row r="73" spans="1:12" x14ac:dyDescent="0.2">
      <c r="A73" s="3" t="s">
        <v>169</v>
      </c>
      <c r="B73" s="3" t="str">
        <f xml:space="preserve"> SUBSTITUTE(RIGHT(SUBSTITUTE(Network_Connections[[#This Row],[from]],"_",REPT("*",10)),10),"*","")</f>
        <v>WebSRV1</v>
      </c>
      <c r="C73" s="3" t="str">
        <f>INDEX(Assets[Asset_ID],MATCH(Network_Connections[[#This Row],[From1]],Assets[name],0))</f>
        <v>A00003</v>
      </c>
      <c r="D73" s="3" t="s">
        <v>146</v>
      </c>
      <c r="E73" s="3" t="str">
        <f xml:space="preserve"> SUBSTITUTE(RIGHT(SUBSTITUTE(Network_Connections[[#This Row],[to]],"_",REPT("*",10)),10),"*","")</f>
        <v>WS7</v>
      </c>
      <c r="F73" s="3" t="str">
        <f>INDEX(Assets[Asset_ID],MATCH(Network_Connections[[#This Row],[From2]],Assets[name],0))</f>
        <v>A00024</v>
      </c>
      <c r="G73" s="3" t="s">
        <v>145</v>
      </c>
      <c r="H73" s="3" t="s">
        <v>144</v>
      </c>
      <c r="I73" s="3">
        <v>0</v>
      </c>
      <c r="J7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3" s="3" t="str">
        <f>RIGHT(Network_Connections[[#This Row],[port/protocol]],LEN(Network_Connections[[#This Row],[port/protocol]])-FIND("/",Network_Connections[[#This Row],[port/protocol]]))</f>
        <v>0-65535</v>
      </c>
      <c r="L73" s="3">
        <f t="shared" si="2"/>
        <v>0</v>
      </c>
    </row>
    <row r="74" spans="1:12" x14ac:dyDescent="0.2">
      <c r="A74" s="3" t="s">
        <v>169</v>
      </c>
      <c r="B74" s="3" t="str">
        <f xml:space="preserve"> SUBSTITUTE(RIGHT(SUBSTITUTE(Network_Connections[[#This Row],[from]],"_",REPT("*",10)),10),"*","")</f>
        <v>WebSRV1</v>
      </c>
      <c r="C74" s="3" t="str">
        <f>INDEX(Assets[Asset_ID],MATCH(Network_Connections[[#This Row],[From1]],Assets[name],0))</f>
        <v>A00003</v>
      </c>
      <c r="D74" s="3" t="s">
        <v>147</v>
      </c>
      <c r="E74" s="3" t="str">
        <f xml:space="preserve"> SUBSTITUTE(RIGHT(SUBSTITUTE(Network_Connections[[#This Row],[to]],"_",REPT("*",10)),10),"*","")</f>
        <v>WS8</v>
      </c>
      <c r="F74" s="3" t="str">
        <f>INDEX(Assets[Asset_ID],MATCH(Network_Connections[[#This Row],[From2]],Assets[name],0))</f>
        <v>A00025</v>
      </c>
      <c r="G74" s="3" t="s">
        <v>145</v>
      </c>
      <c r="H74" s="3" t="s">
        <v>144</v>
      </c>
      <c r="I74" s="3">
        <v>0</v>
      </c>
      <c r="J7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4" s="3" t="str">
        <f>RIGHT(Network_Connections[[#This Row],[port/protocol]],LEN(Network_Connections[[#This Row],[port/protocol]])-FIND("/",Network_Connections[[#This Row],[port/protocol]]))</f>
        <v>0-65535</v>
      </c>
      <c r="L74" s="3">
        <f t="shared" si="2"/>
        <v>0</v>
      </c>
    </row>
    <row r="75" spans="1:12" x14ac:dyDescent="0.2">
      <c r="A75" s="3" t="s">
        <v>168</v>
      </c>
      <c r="B75" s="3" t="str">
        <f xml:space="preserve"> SUBSTITUTE(RIGHT(SUBSTITUTE(Network_Connections[[#This Row],[from]],"_",REPT("*",10)),10),"*","")</f>
        <v>WebSRV2</v>
      </c>
      <c r="C75" s="3" t="str">
        <f>INDEX(Assets[Asset_ID],MATCH(Network_Connections[[#This Row],[From1]],Assets[name],0))</f>
        <v>A00004</v>
      </c>
      <c r="D75" s="3" t="s">
        <v>171</v>
      </c>
      <c r="E75" s="3" t="str">
        <f xml:space="preserve"> SUBSTITUTE(RIGHT(SUBSTITUTE(Network_Connections[[#This Row],[to]],"_",REPT("*",10)),10),"*","")</f>
        <v>FW1</v>
      </c>
      <c r="F75" s="3" t="str">
        <f>INDEX(Assets[Asset_ID],MATCH(Network_Connections[[#This Row],[From2]],Assets[name],0))</f>
        <v>A00001</v>
      </c>
      <c r="G75" s="3" t="s">
        <v>145</v>
      </c>
      <c r="H75" s="3" t="s">
        <v>144</v>
      </c>
      <c r="I75" s="3">
        <v>0</v>
      </c>
      <c r="J7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5" s="3" t="str">
        <f>RIGHT(Network_Connections[[#This Row],[port/protocol]],LEN(Network_Connections[[#This Row],[port/protocol]])-FIND("/",Network_Connections[[#This Row],[port/protocol]]))</f>
        <v>0-65535</v>
      </c>
      <c r="L75" s="3">
        <f t="shared" si="2"/>
        <v>0</v>
      </c>
    </row>
    <row r="76" spans="1:12" x14ac:dyDescent="0.2">
      <c r="A76" s="3" t="s">
        <v>168</v>
      </c>
      <c r="B76" s="3" t="str">
        <f xml:space="preserve"> SUBSTITUTE(RIGHT(SUBSTITUTE(Network_Connections[[#This Row],[from]],"_",REPT("*",10)),10),"*","")</f>
        <v>WebSRV2</v>
      </c>
      <c r="C76" s="3" t="str">
        <f>INDEX(Assets[Asset_ID],MATCH(Network_Connections[[#This Row],[From1]],Assets[name],0))</f>
        <v>A00004</v>
      </c>
      <c r="D76" s="3" t="s">
        <v>170</v>
      </c>
      <c r="E76" s="3" t="str">
        <f xml:space="preserve"> SUBSTITUTE(RIGHT(SUBSTITUTE(Network_Connections[[#This Row],[to]],"_",REPT("*",10)),10),"*","")</f>
        <v>VPNSRV</v>
      </c>
      <c r="F76" s="3" t="str">
        <f>INDEX(Assets[Asset_ID],MATCH(Network_Connections[[#This Row],[From2]],Assets[name],0))</f>
        <v>A00002</v>
      </c>
      <c r="G76" s="3" t="s">
        <v>145</v>
      </c>
      <c r="H76" s="3" t="s">
        <v>144</v>
      </c>
      <c r="I76" s="3">
        <v>1</v>
      </c>
      <c r="J7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"A00004"-&gt;"A00002"@00:("IP", "0-65535");</v>
      </c>
      <c r="K76" s="3" t="str">
        <f>RIGHT(Network_Connections[[#This Row],[port/protocol]],LEN(Network_Connections[[#This Row],[port/protocol]])-FIND("/",Network_Connections[[#This Row],[port/protocol]]))</f>
        <v>0-65535</v>
      </c>
      <c r="L76" s="3">
        <f t="shared" si="2"/>
        <v>0</v>
      </c>
    </row>
    <row r="77" spans="1:12" x14ac:dyDescent="0.2">
      <c r="A77" s="3" t="s">
        <v>168</v>
      </c>
      <c r="B77" s="3" t="str">
        <f xml:space="preserve"> SUBSTITUTE(RIGHT(SUBSTITUTE(Network_Connections[[#This Row],[from]],"_",REPT("*",10)),10),"*","")</f>
        <v>WebSRV2</v>
      </c>
      <c r="C77" s="3" t="str">
        <f>INDEX(Assets[Asset_ID],MATCH(Network_Connections[[#This Row],[From1]],Assets[name],0))</f>
        <v>A00004</v>
      </c>
      <c r="D77" s="3" t="s">
        <v>169</v>
      </c>
      <c r="E77" s="3" t="str">
        <f xml:space="preserve"> SUBSTITUTE(RIGHT(SUBSTITUTE(Network_Connections[[#This Row],[to]],"_",REPT("*",10)),10),"*","")</f>
        <v>WebSRV1</v>
      </c>
      <c r="F77" s="3" t="str">
        <f>INDEX(Assets[Asset_ID],MATCH(Network_Connections[[#This Row],[From2]],Assets[name],0))</f>
        <v>A00003</v>
      </c>
      <c r="G77" s="3" t="s">
        <v>145</v>
      </c>
      <c r="H77" s="3" t="s">
        <v>144</v>
      </c>
      <c r="I77" s="3">
        <v>1</v>
      </c>
      <c r="J7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"A00004"-&gt;"A00003"@00:("IP", "0-65535");</v>
      </c>
      <c r="K77" s="3" t="str">
        <f>RIGHT(Network_Connections[[#This Row],[port/protocol]],LEN(Network_Connections[[#This Row],[port/protocol]])-FIND("/",Network_Connections[[#This Row],[port/protocol]]))</f>
        <v>0-65535</v>
      </c>
      <c r="L77" s="3">
        <f t="shared" si="2"/>
        <v>0</v>
      </c>
    </row>
    <row r="78" spans="1:12" x14ac:dyDescent="0.2">
      <c r="A78" s="3" t="s">
        <v>168</v>
      </c>
      <c r="B78" s="3" t="str">
        <f xml:space="preserve"> SUBSTITUTE(RIGHT(SUBSTITUTE(Network_Connections[[#This Row],[from]],"_",REPT("*",10)),10),"*","")</f>
        <v>WebSRV2</v>
      </c>
      <c r="C78" s="3" t="str">
        <f>INDEX(Assets[Asset_ID],MATCH(Network_Connections[[#This Row],[From1]],Assets[name],0))</f>
        <v>A00004</v>
      </c>
      <c r="D78" s="3" t="s">
        <v>166</v>
      </c>
      <c r="E78" s="3" t="str">
        <f xml:space="preserve"> SUBSTITUTE(RIGHT(SUBSTITUTE(Network_Connections[[#This Row],[to]],"_",REPT("*",10)),10),"*","")</f>
        <v>FW2</v>
      </c>
      <c r="F78" s="3" t="str">
        <f>INDEX(Assets[Asset_ID],MATCH(Network_Connections[[#This Row],[From2]],Assets[name],0))</f>
        <v>A00005</v>
      </c>
      <c r="G78" s="3" t="s">
        <v>145</v>
      </c>
      <c r="H78" s="3" t="s">
        <v>144</v>
      </c>
      <c r="I78" s="3">
        <v>0</v>
      </c>
      <c r="J7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8" s="3" t="str">
        <f>RIGHT(Network_Connections[[#This Row],[port/protocol]],LEN(Network_Connections[[#This Row],[port/protocol]])-FIND("/",Network_Connections[[#This Row],[port/protocol]]))</f>
        <v>0-65535</v>
      </c>
      <c r="L78" s="3">
        <f t="shared" si="2"/>
        <v>0</v>
      </c>
    </row>
    <row r="79" spans="1:12" x14ac:dyDescent="0.2">
      <c r="A79" s="3" t="s">
        <v>168</v>
      </c>
      <c r="B79" s="3" t="str">
        <f xml:space="preserve"> SUBSTITUTE(RIGHT(SUBSTITUTE(Network_Connections[[#This Row],[from]],"_",REPT("*",10)),10),"*","")</f>
        <v>WebSRV2</v>
      </c>
      <c r="C79" s="3" t="str">
        <f>INDEX(Assets[Asset_ID],MATCH(Network_Connections[[#This Row],[From1]],Assets[name],0))</f>
        <v>A00004</v>
      </c>
      <c r="D79" s="3" t="s">
        <v>165</v>
      </c>
      <c r="E79" s="3" t="str">
        <f xml:space="preserve"> SUBSTITUTE(RIGHT(SUBSTITUTE(Network_Connections[[#This Row],[to]],"_",REPT("*",10)),10),"*","")</f>
        <v>SW1</v>
      </c>
      <c r="F79" s="3" t="str">
        <f>INDEX(Assets[Asset_ID],MATCH(Network_Connections[[#This Row],[From2]],Assets[name],0))</f>
        <v>A00006</v>
      </c>
      <c r="G79" s="3" t="s">
        <v>145</v>
      </c>
      <c r="H79" s="3" t="s">
        <v>144</v>
      </c>
      <c r="I79" s="3">
        <v>0</v>
      </c>
      <c r="J7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79" s="3" t="str">
        <f>RIGHT(Network_Connections[[#This Row],[port/protocol]],LEN(Network_Connections[[#This Row],[port/protocol]])-FIND("/",Network_Connections[[#This Row],[port/protocol]]))</f>
        <v>0-65535</v>
      </c>
      <c r="L79" s="3">
        <f t="shared" si="2"/>
        <v>0</v>
      </c>
    </row>
    <row r="80" spans="1:12" x14ac:dyDescent="0.2">
      <c r="A80" s="3" t="s">
        <v>168</v>
      </c>
      <c r="B80" s="3" t="str">
        <f xml:space="preserve"> SUBSTITUTE(RIGHT(SUBSTITUTE(Network_Connections[[#This Row],[from]],"_",REPT("*",10)),10),"*","")</f>
        <v>WebSRV2</v>
      </c>
      <c r="C80" s="3" t="str">
        <f>INDEX(Assets[Asset_ID],MATCH(Network_Connections[[#This Row],[From1]],Assets[name],0))</f>
        <v>A00004</v>
      </c>
      <c r="D80" s="3" t="s">
        <v>164</v>
      </c>
      <c r="E80" s="3" t="str">
        <f xml:space="preserve"> SUBSTITUTE(RIGHT(SUBSTITUTE(Network_Connections[[#This Row],[to]],"_",REPT("*",10)),10),"*","")</f>
        <v>AD</v>
      </c>
      <c r="F80" s="3" t="str">
        <f>INDEX(Assets[Asset_ID],MATCH(Network_Connections[[#This Row],[From2]],Assets[name],0))</f>
        <v>A00007</v>
      </c>
      <c r="G80" s="3" t="s">
        <v>145</v>
      </c>
      <c r="H80" s="3" t="s">
        <v>144</v>
      </c>
      <c r="I80" s="3">
        <v>1</v>
      </c>
      <c r="J8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"A00004"-&gt;"A00007"@00:("IP", "0-65535");</v>
      </c>
      <c r="K80" s="3" t="str">
        <f>RIGHT(Network_Connections[[#This Row],[port/protocol]],LEN(Network_Connections[[#This Row],[port/protocol]])-FIND("/",Network_Connections[[#This Row],[port/protocol]]))</f>
        <v>0-65535</v>
      </c>
      <c r="L80" s="3">
        <f t="shared" si="2"/>
        <v>0</v>
      </c>
    </row>
    <row r="81" spans="1:12" x14ac:dyDescent="0.2">
      <c r="A81" s="3" t="s">
        <v>168</v>
      </c>
      <c r="B81" s="3" t="str">
        <f xml:space="preserve"> SUBSTITUTE(RIGHT(SUBSTITUTE(Network_Connections[[#This Row],[from]],"_",REPT("*",10)),10),"*","")</f>
        <v>WebSRV2</v>
      </c>
      <c r="C81" s="3" t="str">
        <f>INDEX(Assets[Asset_ID],MATCH(Network_Connections[[#This Row],[From1]],Assets[name],0))</f>
        <v>A00004</v>
      </c>
      <c r="D81" s="3" t="s">
        <v>163</v>
      </c>
      <c r="E81" s="3" t="str">
        <f xml:space="preserve"> SUBSTITUTE(RIGHT(SUBSTITUTE(Network_Connections[[#This Row],[to]],"_",REPT("*",10)),10),"*","")</f>
        <v>ERP</v>
      </c>
      <c r="F81" s="3" t="str">
        <f>INDEX(Assets[Asset_ID],MATCH(Network_Connections[[#This Row],[From2]],Assets[name],0))</f>
        <v>A00008</v>
      </c>
      <c r="G81" s="3" t="s">
        <v>145</v>
      </c>
      <c r="H81" s="3" t="s">
        <v>144</v>
      </c>
      <c r="I81" s="3">
        <v>0</v>
      </c>
      <c r="J8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1" s="3" t="str">
        <f>RIGHT(Network_Connections[[#This Row],[port/protocol]],LEN(Network_Connections[[#This Row],[port/protocol]])-FIND("/",Network_Connections[[#This Row],[port/protocol]]))</f>
        <v>0-65535</v>
      </c>
      <c r="L81" s="3">
        <f t="shared" si="2"/>
        <v>0</v>
      </c>
    </row>
    <row r="82" spans="1:12" x14ac:dyDescent="0.2">
      <c r="A82" s="3" t="s">
        <v>168</v>
      </c>
      <c r="B82" s="3" t="str">
        <f xml:space="preserve"> SUBSTITUTE(RIGHT(SUBSTITUTE(Network_Connections[[#This Row],[from]],"_",REPT("*",10)),10),"*","")</f>
        <v>WebSRV2</v>
      </c>
      <c r="C82" s="3" t="str">
        <f>INDEX(Assets[Asset_ID],MATCH(Network_Connections[[#This Row],[From1]],Assets[name],0))</f>
        <v>A00004</v>
      </c>
      <c r="D82" s="3" t="s">
        <v>162</v>
      </c>
      <c r="E82" s="3" t="str">
        <f xml:space="preserve"> SUBSTITUTE(RIGHT(SUBSTITUTE(Network_Connections[[#This Row],[to]],"_",REPT("*",10)),10),"*","")</f>
        <v>Banking</v>
      </c>
      <c r="F82" s="3" t="str">
        <f>INDEX(Assets[Asset_ID],MATCH(Network_Connections[[#This Row],[From2]],Assets[name],0))</f>
        <v>A00009</v>
      </c>
      <c r="G82" s="3" t="s">
        <v>145</v>
      </c>
      <c r="H82" s="3" t="s">
        <v>144</v>
      </c>
      <c r="I82" s="3">
        <v>0</v>
      </c>
      <c r="J8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2" s="3" t="str">
        <f>RIGHT(Network_Connections[[#This Row],[port/protocol]],LEN(Network_Connections[[#This Row],[port/protocol]])-FIND("/",Network_Connections[[#This Row],[port/protocol]]))</f>
        <v>0-65535</v>
      </c>
      <c r="L82" s="3">
        <f t="shared" si="2"/>
        <v>0</v>
      </c>
    </row>
    <row r="83" spans="1:12" x14ac:dyDescent="0.2">
      <c r="A83" s="3" t="s">
        <v>168</v>
      </c>
      <c r="B83" s="3" t="str">
        <f xml:space="preserve"> SUBSTITUTE(RIGHT(SUBSTITUTE(Network_Connections[[#This Row],[from]],"_",REPT("*",10)),10),"*","")</f>
        <v>WebSRV2</v>
      </c>
      <c r="C83" s="3" t="str">
        <f>INDEX(Assets[Asset_ID],MATCH(Network_Connections[[#This Row],[From1]],Assets[name],0))</f>
        <v>A00004</v>
      </c>
      <c r="D83" s="3" t="s">
        <v>161</v>
      </c>
      <c r="E83" s="3" t="str">
        <f xml:space="preserve"> SUBSTITUTE(RIGHT(SUBSTITUTE(Network_Connections[[#This Row],[to]],"_",REPT("*",10)),10),"*","")</f>
        <v>Email</v>
      </c>
      <c r="F83" s="3" t="str">
        <f>INDEX(Assets[Asset_ID],MATCH(Network_Connections[[#This Row],[From2]],Assets[name],0))</f>
        <v>A00010</v>
      </c>
      <c r="G83" s="3" t="s">
        <v>145</v>
      </c>
      <c r="H83" s="3" t="s">
        <v>144</v>
      </c>
      <c r="I83" s="3">
        <v>0</v>
      </c>
      <c r="J8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3" s="3" t="str">
        <f>RIGHT(Network_Connections[[#This Row],[port/protocol]],LEN(Network_Connections[[#This Row],[port/protocol]])-FIND("/",Network_Connections[[#This Row],[port/protocol]]))</f>
        <v>0-65535</v>
      </c>
      <c r="L83" s="3">
        <f t="shared" si="2"/>
        <v>0</v>
      </c>
    </row>
    <row r="84" spans="1:12" x14ac:dyDescent="0.2">
      <c r="A84" s="3" t="s">
        <v>168</v>
      </c>
      <c r="B84" s="3" t="str">
        <f xml:space="preserve"> SUBSTITUTE(RIGHT(SUBSTITUTE(Network_Connections[[#This Row],[from]],"_",REPT("*",10)),10),"*","")</f>
        <v>WebSRV2</v>
      </c>
      <c r="C84" s="3" t="str">
        <f>INDEX(Assets[Asset_ID],MATCH(Network_Connections[[#This Row],[From1]],Assets[name],0))</f>
        <v>A00004</v>
      </c>
      <c r="D84" s="3" t="s">
        <v>160</v>
      </c>
      <c r="E84" s="3" t="str">
        <f xml:space="preserve"> SUBSTITUTE(RIGHT(SUBSTITUTE(Network_Connections[[#This Row],[to]],"_",REPT("*",10)),10),"*","")</f>
        <v>WMS</v>
      </c>
      <c r="F84" s="3" t="str">
        <f>INDEX(Assets[Asset_ID],MATCH(Network_Connections[[#This Row],[From2]],Assets[name],0))</f>
        <v>A00011</v>
      </c>
      <c r="G84" s="3" t="s">
        <v>145</v>
      </c>
      <c r="H84" s="3" t="s">
        <v>144</v>
      </c>
      <c r="I84" s="3">
        <v>0</v>
      </c>
      <c r="J8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4" s="3" t="str">
        <f>RIGHT(Network_Connections[[#This Row],[port/protocol]],LEN(Network_Connections[[#This Row],[port/protocol]])-FIND("/",Network_Connections[[#This Row],[port/protocol]]))</f>
        <v>0-65535</v>
      </c>
      <c r="L84" s="3">
        <f t="shared" si="2"/>
        <v>0</v>
      </c>
    </row>
    <row r="85" spans="1:12" x14ac:dyDescent="0.2">
      <c r="A85" s="3" t="s">
        <v>168</v>
      </c>
      <c r="B85" s="3" t="str">
        <f xml:space="preserve"> SUBSTITUTE(RIGHT(SUBSTITUTE(Network_Connections[[#This Row],[from]],"_",REPT("*",10)),10),"*","")</f>
        <v>WebSRV2</v>
      </c>
      <c r="C85" s="3" t="str">
        <f>INDEX(Assets[Asset_ID],MATCH(Network_Connections[[#This Row],[From1]],Assets[name],0))</f>
        <v>A00004</v>
      </c>
      <c r="D85" s="3" t="s">
        <v>159</v>
      </c>
      <c r="E85" s="3" t="str">
        <f xml:space="preserve"> SUBSTITUTE(RIGHT(SUBSTITUTE(Network_Connections[[#This Row],[to]],"_",REPT("*",10)),10),"*","")</f>
        <v>CRM</v>
      </c>
      <c r="F85" s="3" t="str">
        <f>INDEX(Assets[Asset_ID],MATCH(Network_Connections[[#This Row],[From2]],Assets[name],0))</f>
        <v>A00012</v>
      </c>
      <c r="G85" s="3" t="s">
        <v>145</v>
      </c>
      <c r="H85" s="3" t="s">
        <v>144</v>
      </c>
      <c r="I85" s="3">
        <v>1</v>
      </c>
      <c r="J8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"A00004"-&gt;"A00012"@00:("IP", "0-65535");</v>
      </c>
      <c r="K85" s="3" t="str">
        <f>RIGHT(Network_Connections[[#This Row],[port/protocol]],LEN(Network_Connections[[#This Row],[port/protocol]])-FIND("/",Network_Connections[[#This Row],[port/protocol]]))</f>
        <v>0-65535</v>
      </c>
      <c r="L85" s="3">
        <f t="shared" si="2"/>
        <v>0</v>
      </c>
    </row>
    <row r="86" spans="1:12" x14ac:dyDescent="0.2">
      <c r="A86" s="3" t="s">
        <v>168</v>
      </c>
      <c r="B86" s="3" t="str">
        <f xml:space="preserve"> SUBSTITUTE(RIGHT(SUBSTITUTE(Network_Connections[[#This Row],[from]],"_",REPT("*",10)),10),"*","")</f>
        <v>WebSRV2</v>
      </c>
      <c r="C86" s="3" t="str">
        <f>INDEX(Assets[Asset_ID],MATCH(Network_Connections[[#This Row],[From1]],Assets[name],0))</f>
        <v>A00004</v>
      </c>
      <c r="D86" s="3" t="s">
        <v>158</v>
      </c>
      <c r="E86" s="3" t="str">
        <f xml:space="preserve"> SUBSTITUTE(RIGHT(SUBSTITUTE(Network_Connections[[#This Row],[to]],"_",REPT("*",10)),10),"*","")</f>
        <v>WIFI1</v>
      </c>
      <c r="F86" s="3" t="str">
        <f>INDEX(Assets[Asset_ID],MATCH(Network_Connections[[#This Row],[From2]],Assets[name],0))</f>
        <v>A00013</v>
      </c>
      <c r="G86" s="3" t="s">
        <v>145</v>
      </c>
      <c r="H86" s="3" t="s">
        <v>144</v>
      </c>
      <c r="I86" s="3">
        <v>0</v>
      </c>
      <c r="J8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6" s="3" t="str">
        <f>RIGHT(Network_Connections[[#This Row],[port/protocol]],LEN(Network_Connections[[#This Row],[port/protocol]])-FIND("/",Network_Connections[[#This Row],[port/protocol]]))</f>
        <v>0-65535</v>
      </c>
      <c r="L86" s="3">
        <f t="shared" si="2"/>
        <v>0</v>
      </c>
    </row>
    <row r="87" spans="1:12" x14ac:dyDescent="0.2">
      <c r="A87" s="3" t="s">
        <v>168</v>
      </c>
      <c r="B87" s="3" t="str">
        <f xml:space="preserve"> SUBSTITUTE(RIGHT(SUBSTITUTE(Network_Connections[[#This Row],[from]],"_",REPT("*",10)),10),"*","")</f>
        <v>WebSRV2</v>
      </c>
      <c r="C87" s="3" t="str">
        <f>INDEX(Assets[Asset_ID],MATCH(Network_Connections[[#This Row],[From1]],Assets[name],0))</f>
        <v>A00004</v>
      </c>
      <c r="D87" s="3" t="s">
        <v>157</v>
      </c>
      <c r="E87" s="3" t="str">
        <f xml:space="preserve"> SUBSTITUTE(RIGHT(SUBSTITUTE(Network_Connections[[#This Row],[to]],"_",REPT("*",10)),10),"*","")</f>
        <v>WS1</v>
      </c>
      <c r="F87" s="3" t="str">
        <f>INDEX(Assets[Asset_ID],MATCH(Network_Connections[[#This Row],[From2]],Assets[name],0))</f>
        <v>A00014</v>
      </c>
      <c r="G87" s="3" t="s">
        <v>145</v>
      </c>
      <c r="H87" s="3" t="s">
        <v>144</v>
      </c>
      <c r="I87" s="3">
        <v>0</v>
      </c>
      <c r="J8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7" s="3" t="str">
        <f>RIGHT(Network_Connections[[#This Row],[port/protocol]],LEN(Network_Connections[[#This Row],[port/protocol]])-FIND("/",Network_Connections[[#This Row],[port/protocol]]))</f>
        <v>0-65535</v>
      </c>
      <c r="L87" s="3">
        <f t="shared" si="2"/>
        <v>0</v>
      </c>
    </row>
    <row r="88" spans="1:12" x14ac:dyDescent="0.2">
      <c r="A88" s="3" t="s">
        <v>168</v>
      </c>
      <c r="B88" s="3" t="str">
        <f xml:space="preserve"> SUBSTITUTE(RIGHT(SUBSTITUTE(Network_Connections[[#This Row],[from]],"_",REPT("*",10)),10),"*","")</f>
        <v>WebSRV2</v>
      </c>
      <c r="C88" s="3" t="str">
        <f>INDEX(Assets[Asset_ID],MATCH(Network_Connections[[#This Row],[From1]],Assets[name],0))</f>
        <v>A00004</v>
      </c>
      <c r="D88" s="3" t="s">
        <v>156</v>
      </c>
      <c r="E88" s="3" t="str">
        <f xml:space="preserve"> SUBSTITUTE(RIGHT(SUBSTITUTE(Network_Connections[[#This Row],[to]],"_",REPT("*",10)),10),"*","")</f>
        <v>FW3</v>
      </c>
      <c r="F88" s="3" t="str">
        <f>INDEX(Assets[Asset_ID],MATCH(Network_Connections[[#This Row],[From2]],Assets[name],0))</f>
        <v>A00015</v>
      </c>
      <c r="G88" s="3" t="s">
        <v>145</v>
      </c>
      <c r="H88" s="3" t="s">
        <v>144</v>
      </c>
      <c r="I88" s="3">
        <v>0</v>
      </c>
      <c r="J8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8" s="3" t="str">
        <f>RIGHT(Network_Connections[[#This Row],[port/protocol]],LEN(Network_Connections[[#This Row],[port/protocol]])-FIND("/",Network_Connections[[#This Row],[port/protocol]]))</f>
        <v>0-65535</v>
      </c>
      <c r="L88" s="3">
        <f t="shared" si="2"/>
        <v>0</v>
      </c>
    </row>
    <row r="89" spans="1:12" x14ac:dyDescent="0.2">
      <c r="A89" s="3" t="s">
        <v>168</v>
      </c>
      <c r="B89" s="3" t="str">
        <f xml:space="preserve"> SUBSTITUTE(RIGHT(SUBSTITUTE(Network_Connections[[#This Row],[from]],"_",REPT("*",10)),10),"*","")</f>
        <v>WebSRV2</v>
      </c>
      <c r="C89" s="3" t="str">
        <f>INDEX(Assets[Asset_ID],MATCH(Network_Connections[[#This Row],[From1]],Assets[name],0))</f>
        <v>A00004</v>
      </c>
      <c r="D89" s="3" t="s">
        <v>155</v>
      </c>
      <c r="E89" s="3" t="str">
        <f xml:space="preserve"> SUBSTITUTE(RIGHT(SUBSTITUTE(Network_Connections[[#This Row],[to]],"_",REPT("*",10)),10),"*","")</f>
        <v>SW2</v>
      </c>
      <c r="F89" s="3" t="str">
        <f>INDEX(Assets[Asset_ID],MATCH(Network_Connections[[#This Row],[From2]],Assets[name],0))</f>
        <v>A00016</v>
      </c>
      <c r="G89" s="3" t="s">
        <v>145</v>
      </c>
      <c r="H89" s="3" t="s">
        <v>144</v>
      </c>
      <c r="I89" s="3">
        <v>0</v>
      </c>
      <c r="J8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89" s="3" t="str">
        <f>RIGHT(Network_Connections[[#This Row],[port/protocol]],LEN(Network_Connections[[#This Row],[port/protocol]])-FIND("/",Network_Connections[[#This Row],[port/protocol]]))</f>
        <v>0-65535</v>
      </c>
      <c r="L89" s="3">
        <f t="shared" si="2"/>
        <v>0</v>
      </c>
    </row>
    <row r="90" spans="1:12" x14ac:dyDescent="0.2">
      <c r="A90" s="3" t="s">
        <v>168</v>
      </c>
      <c r="B90" s="3" t="str">
        <f xml:space="preserve"> SUBSTITUTE(RIGHT(SUBSTITUTE(Network_Connections[[#This Row],[from]],"_",REPT("*",10)),10),"*","")</f>
        <v>WebSRV2</v>
      </c>
      <c r="C90" s="3" t="str">
        <f>INDEX(Assets[Asset_ID],MATCH(Network_Connections[[#This Row],[From1]],Assets[name],0))</f>
        <v>A00004</v>
      </c>
      <c r="D90" s="3" t="s">
        <v>154</v>
      </c>
      <c r="E90" s="3" t="str">
        <f xml:space="preserve"> SUBSTITUTE(RIGHT(SUBSTITUTE(Network_Connections[[#This Row],[to]],"_",REPT("*",10)),10),"*","")</f>
        <v>WS2</v>
      </c>
      <c r="F90" s="3" t="str">
        <f>INDEX(Assets[Asset_ID],MATCH(Network_Connections[[#This Row],[From2]],Assets[name],0))</f>
        <v>A00017</v>
      </c>
      <c r="G90" s="3" t="s">
        <v>145</v>
      </c>
      <c r="H90" s="3" t="s">
        <v>144</v>
      </c>
      <c r="I90" s="3">
        <v>0</v>
      </c>
      <c r="J9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0" s="3" t="str">
        <f>RIGHT(Network_Connections[[#This Row],[port/protocol]],LEN(Network_Connections[[#This Row],[port/protocol]])-FIND("/",Network_Connections[[#This Row],[port/protocol]]))</f>
        <v>0-65535</v>
      </c>
      <c r="L90" s="3">
        <f t="shared" si="2"/>
        <v>0</v>
      </c>
    </row>
    <row r="91" spans="1:12" x14ac:dyDescent="0.2">
      <c r="A91" s="3" t="s">
        <v>168</v>
      </c>
      <c r="B91" s="3" t="str">
        <f xml:space="preserve"> SUBSTITUTE(RIGHT(SUBSTITUTE(Network_Connections[[#This Row],[from]],"_",REPT("*",10)),10),"*","")</f>
        <v>WebSRV2</v>
      </c>
      <c r="C91" s="3" t="str">
        <f>INDEX(Assets[Asset_ID],MATCH(Network_Connections[[#This Row],[From1]],Assets[name],0))</f>
        <v>A00004</v>
      </c>
      <c r="D91" s="3" t="s">
        <v>153</v>
      </c>
      <c r="E91" s="3" t="str">
        <f xml:space="preserve"> SUBSTITUTE(RIGHT(SUBSTITUTE(Network_Connections[[#This Row],[to]],"_",REPT("*",10)),10),"*","")</f>
        <v>WS3</v>
      </c>
      <c r="F91" s="3" t="str">
        <f>INDEX(Assets[Asset_ID],MATCH(Network_Connections[[#This Row],[From2]],Assets[name],0))</f>
        <v>A00018</v>
      </c>
      <c r="G91" s="3" t="s">
        <v>145</v>
      </c>
      <c r="H91" s="3" t="s">
        <v>144</v>
      </c>
      <c r="I91" s="3">
        <v>0</v>
      </c>
      <c r="J9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1" s="3" t="str">
        <f>RIGHT(Network_Connections[[#This Row],[port/protocol]],LEN(Network_Connections[[#This Row],[port/protocol]])-FIND("/",Network_Connections[[#This Row],[port/protocol]]))</f>
        <v>0-65535</v>
      </c>
      <c r="L91" s="3">
        <f t="shared" si="2"/>
        <v>0</v>
      </c>
    </row>
    <row r="92" spans="1:12" x14ac:dyDescent="0.2">
      <c r="A92" s="3" t="s">
        <v>168</v>
      </c>
      <c r="B92" s="3" t="str">
        <f xml:space="preserve"> SUBSTITUTE(RIGHT(SUBSTITUTE(Network_Connections[[#This Row],[from]],"_",REPT("*",10)),10),"*","")</f>
        <v>WebSRV2</v>
      </c>
      <c r="C92" s="3" t="str">
        <f>INDEX(Assets[Asset_ID],MATCH(Network_Connections[[#This Row],[From1]],Assets[name],0))</f>
        <v>A00004</v>
      </c>
      <c r="D92" s="3" t="s">
        <v>152</v>
      </c>
      <c r="E92" s="3" t="str">
        <f xml:space="preserve"> SUBSTITUTE(RIGHT(SUBSTITUTE(Network_Connections[[#This Row],[to]],"_",REPT("*",10)),10),"*","")</f>
        <v>WS4</v>
      </c>
      <c r="F92" s="3" t="str">
        <f>INDEX(Assets[Asset_ID],MATCH(Network_Connections[[#This Row],[From2]],Assets[name],0))</f>
        <v>A00019</v>
      </c>
      <c r="G92" s="3" t="s">
        <v>145</v>
      </c>
      <c r="H92" s="3" t="s">
        <v>144</v>
      </c>
      <c r="I92" s="3">
        <v>0</v>
      </c>
      <c r="J9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2" s="3" t="str">
        <f>RIGHT(Network_Connections[[#This Row],[port/protocol]],LEN(Network_Connections[[#This Row],[port/protocol]])-FIND("/",Network_Connections[[#This Row],[port/protocol]]))</f>
        <v>0-65535</v>
      </c>
      <c r="L92" s="3">
        <f t="shared" si="2"/>
        <v>0</v>
      </c>
    </row>
    <row r="93" spans="1:12" x14ac:dyDescent="0.2">
      <c r="A93" s="3" t="s">
        <v>168</v>
      </c>
      <c r="B93" s="3" t="str">
        <f xml:space="preserve"> SUBSTITUTE(RIGHT(SUBSTITUTE(Network_Connections[[#This Row],[from]],"_",REPT("*",10)),10),"*","")</f>
        <v>WebSRV2</v>
      </c>
      <c r="C93" s="3" t="str">
        <f>INDEX(Assets[Asset_ID],MATCH(Network_Connections[[#This Row],[From1]],Assets[name],0))</f>
        <v>A00004</v>
      </c>
      <c r="D93" s="3" t="s">
        <v>151</v>
      </c>
      <c r="E93" s="3" t="str">
        <f xml:space="preserve"> SUBSTITUTE(RIGHT(SUBSTITUTE(Network_Connections[[#This Row],[to]],"_",REPT("*",10)),10),"*","")</f>
        <v>FW4</v>
      </c>
      <c r="F93" s="3" t="str">
        <f>INDEX(Assets[Asset_ID],MATCH(Network_Connections[[#This Row],[From2]],Assets[name],0))</f>
        <v>A00020</v>
      </c>
      <c r="G93" s="3" t="s">
        <v>145</v>
      </c>
      <c r="H93" s="3" t="s">
        <v>144</v>
      </c>
      <c r="I93" s="3">
        <v>0</v>
      </c>
      <c r="J9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3" s="3" t="str">
        <f>RIGHT(Network_Connections[[#This Row],[port/protocol]],LEN(Network_Connections[[#This Row],[port/protocol]])-FIND("/",Network_Connections[[#This Row],[port/protocol]]))</f>
        <v>0-65535</v>
      </c>
      <c r="L93" s="3">
        <f t="shared" si="2"/>
        <v>0</v>
      </c>
    </row>
    <row r="94" spans="1:12" x14ac:dyDescent="0.2">
      <c r="A94" s="3" t="s">
        <v>168</v>
      </c>
      <c r="B94" s="3" t="str">
        <f xml:space="preserve"> SUBSTITUTE(RIGHT(SUBSTITUTE(Network_Connections[[#This Row],[from]],"_",REPT("*",10)),10),"*","")</f>
        <v>WebSRV2</v>
      </c>
      <c r="C94" s="3" t="str">
        <f>INDEX(Assets[Asset_ID],MATCH(Network_Connections[[#This Row],[From1]],Assets[name],0))</f>
        <v>A00004</v>
      </c>
      <c r="D94" s="3" t="s">
        <v>150</v>
      </c>
      <c r="E94" s="3" t="str">
        <f xml:space="preserve"> SUBSTITUTE(RIGHT(SUBSTITUTE(Network_Connections[[#This Row],[to]],"_",REPT("*",10)),10),"*","")</f>
        <v>WIFI2</v>
      </c>
      <c r="F94" s="3" t="str">
        <f>INDEX(Assets[Asset_ID],MATCH(Network_Connections[[#This Row],[From2]],Assets[name],0))</f>
        <v>A00021</v>
      </c>
      <c r="G94" s="3" t="s">
        <v>145</v>
      </c>
      <c r="H94" s="3" t="s">
        <v>144</v>
      </c>
      <c r="I94" s="3">
        <v>0</v>
      </c>
      <c r="J9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4" s="3" t="str">
        <f>RIGHT(Network_Connections[[#This Row],[port/protocol]],LEN(Network_Connections[[#This Row],[port/protocol]])-FIND("/",Network_Connections[[#This Row],[port/protocol]]))</f>
        <v>0-65535</v>
      </c>
      <c r="L94" s="3">
        <f t="shared" si="2"/>
        <v>0</v>
      </c>
    </row>
    <row r="95" spans="1:12" x14ac:dyDescent="0.2">
      <c r="A95" s="3" t="s">
        <v>168</v>
      </c>
      <c r="B95" s="3" t="str">
        <f xml:space="preserve"> SUBSTITUTE(RIGHT(SUBSTITUTE(Network_Connections[[#This Row],[from]],"_",REPT("*",10)),10),"*","")</f>
        <v>WebSRV2</v>
      </c>
      <c r="C95" s="3" t="str">
        <f>INDEX(Assets[Asset_ID],MATCH(Network_Connections[[#This Row],[From1]],Assets[name],0))</f>
        <v>A00004</v>
      </c>
      <c r="D95" s="3" t="s">
        <v>149</v>
      </c>
      <c r="E95" s="3" t="str">
        <f xml:space="preserve"> SUBSTITUTE(RIGHT(SUBSTITUTE(Network_Connections[[#This Row],[to]],"_",REPT("*",10)),10),"*","")</f>
        <v>WS5</v>
      </c>
      <c r="F95" s="3" t="str">
        <f>INDEX(Assets[Asset_ID],MATCH(Network_Connections[[#This Row],[From2]],Assets[name],0))</f>
        <v>A00022</v>
      </c>
      <c r="G95" s="3" t="s">
        <v>145</v>
      </c>
      <c r="H95" s="3" t="s">
        <v>144</v>
      </c>
      <c r="I95" s="3">
        <v>0</v>
      </c>
      <c r="J9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5" s="3" t="str">
        <f>RIGHT(Network_Connections[[#This Row],[port/protocol]],LEN(Network_Connections[[#This Row],[port/protocol]])-FIND("/",Network_Connections[[#This Row],[port/protocol]]))</f>
        <v>0-65535</v>
      </c>
      <c r="L95" s="3">
        <f t="shared" si="2"/>
        <v>0</v>
      </c>
    </row>
    <row r="96" spans="1:12" x14ac:dyDescent="0.2">
      <c r="A96" s="3" t="s">
        <v>168</v>
      </c>
      <c r="B96" s="3" t="str">
        <f xml:space="preserve"> SUBSTITUTE(RIGHT(SUBSTITUTE(Network_Connections[[#This Row],[from]],"_",REPT("*",10)),10),"*","")</f>
        <v>WebSRV2</v>
      </c>
      <c r="C96" s="3" t="str">
        <f>INDEX(Assets[Asset_ID],MATCH(Network_Connections[[#This Row],[From1]],Assets[name],0))</f>
        <v>A00004</v>
      </c>
      <c r="D96" s="3" t="s">
        <v>148</v>
      </c>
      <c r="E96" s="3" t="str">
        <f xml:space="preserve"> SUBSTITUTE(RIGHT(SUBSTITUTE(Network_Connections[[#This Row],[to]],"_",REPT("*",10)),10),"*","")</f>
        <v>WS6</v>
      </c>
      <c r="F96" s="3" t="str">
        <f>INDEX(Assets[Asset_ID],MATCH(Network_Connections[[#This Row],[From2]],Assets[name],0))</f>
        <v>A00023</v>
      </c>
      <c r="G96" s="3" t="s">
        <v>145</v>
      </c>
      <c r="H96" s="3" t="s">
        <v>144</v>
      </c>
      <c r="I96" s="3">
        <v>0</v>
      </c>
      <c r="J9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6" s="3" t="str">
        <f>RIGHT(Network_Connections[[#This Row],[port/protocol]],LEN(Network_Connections[[#This Row],[port/protocol]])-FIND("/",Network_Connections[[#This Row],[port/protocol]]))</f>
        <v>0-65535</v>
      </c>
      <c r="L96" s="3">
        <f t="shared" si="2"/>
        <v>0</v>
      </c>
    </row>
    <row r="97" spans="1:12" x14ac:dyDescent="0.2">
      <c r="A97" s="3" t="s">
        <v>168</v>
      </c>
      <c r="B97" s="3" t="str">
        <f xml:space="preserve"> SUBSTITUTE(RIGHT(SUBSTITUTE(Network_Connections[[#This Row],[from]],"_",REPT("*",10)),10),"*","")</f>
        <v>WebSRV2</v>
      </c>
      <c r="C97" s="3" t="str">
        <f>INDEX(Assets[Asset_ID],MATCH(Network_Connections[[#This Row],[From1]],Assets[name],0))</f>
        <v>A00004</v>
      </c>
      <c r="D97" s="3" t="s">
        <v>146</v>
      </c>
      <c r="E97" s="3" t="str">
        <f xml:space="preserve"> SUBSTITUTE(RIGHT(SUBSTITUTE(Network_Connections[[#This Row],[to]],"_",REPT("*",10)),10),"*","")</f>
        <v>WS7</v>
      </c>
      <c r="F97" s="3" t="str">
        <f>INDEX(Assets[Asset_ID],MATCH(Network_Connections[[#This Row],[From2]],Assets[name],0))</f>
        <v>A00024</v>
      </c>
      <c r="G97" s="3" t="s">
        <v>145</v>
      </c>
      <c r="H97" s="3" t="s">
        <v>144</v>
      </c>
      <c r="I97" s="3">
        <v>0</v>
      </c>
      <c r="J9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7" s="3" t="str">
        <f>RIGHT(Network_Connections[[#This Row],[port/protocol]],LEN(Network_Connections[[#This Row],[port/protocol]])-FIND("/",Network_Connections[[#This Row],[port/protocol]]))</f>
        <v>0-65535</v>
      </c>
      <c r="L97" s="3">
        <f t="shared" si="2"/>
        <v>0</v>
      </c>
    </row>
    <row r="98" spans="1:12" x14ac:dyDescent="0.2">
      <c r="A98" s="3" t="s">
        <v>168</v>
      </c>
      <c r="B98" s="3" t="str">
        <f xml:space="preserve"> SUBSTITUTE(RIGHT(SUBSTITUTE(Network_Connections[[#This Row],[from]],"_",REPT("*",10)),10),"*","")</f>
        <v>WebSRV2</v>
      </c>
      <c r="C98" s="3" t="str">
        <f>INDEX(Assets[Asset_ID],MATCH(Network_Connections[[#This Row],[From1]],Assets[name],0))</f>
        <v>A00004</v>
      </c>
      <c r="D98" s="3" t="s">
        <v>147</v>
      </c>
      <c r="E98" s="3" t="str">
        <f xml:space="preserve"> SUBSTITUTE(RIGHT(SUBSTITUTE(Network_Connections[[#This Row],[to]],"_",REPT("*",10)),10),"*","")</f>
        <v>WS8</v>
      </c>
      <c r="F98" s="3" t="str">
        <f>INDEX(Assets[Asset_ID],MATCH(Network_Connections[[#This Row],[From2]],Assets[name],0))</f>
        <v>A00025</v>
      </c>
      <c r="G98" s="3" t="s">
        <v>145</v>
      </c>
      <c r="H98" s="3" t="s">
        <v>144</v>
      </c>
      <c r="I98" s="3">
        <v>0</v>
      </c>
      <c r="J9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8" s="3" t="str">
        <f>RIGHT(Network_Connections[[#This Row],[port/protocol]],LEN(Network_Connections[[#This Row],[port/protocol]])-FIND("/",Network_Connections[[#This Row],[port/protocol]]))</f>
        <v>0-65535</v>
      </c>
      <c r="L98" s="3">
        <f t="shared" si="2"/>
        <v>0</v>
      </c>
    </row>
    <row r="99" spans="1:12" x14ac:dyDescent="0.2">
      <c r="A99" s="3" t="s">
        <v>166</v>
      </c>
      <c r="B99" s="3" t="str">
        <f xml:space="preserve"> SUBSTITUTE(RIGHT(SUBSTITUTE(Network_Connections[[#This Row],[from]],"_",REPT("*",10)),10),"*","")</f>
        <v>FW2</v>
      </c>
      <c r="C99" s="3" t="str">
        <f>INDEX(Assets[Asset_ID],MATCH(Network_Connections[[#This Row],[From1]],Assets[name],0))</f>
        <v>A00005</v>
      </c>
      <c r="D99" s="3" t="s">
        <v>171</v>
      </c>
      <c r="E99" s="3" t="str">
        <f xml:space="preserve"> SUBSTITUTE(RIGHT(SUBSTITUTE(Network_Connections[[#This Row],[to]],"_",REPT("*",10)),10),"*","")</f>
        <v>FW1</v>
      </c>
      <c r="F99" s="3" t="str">
        <f>INDEX(Assets[Asset_ID],MATCH(Network_Connections[[#This Row],[From2]],Assets[name],0))</f>
        <v>A00001</v>
      </c>
      <c r="G99" s="3" t="s">
        <v>145</v>
      </c>
      <c r="H99" s="3" t="s">
        <v>144</v>
      </c>
      <c r="I99" s="3">
        <v>0</v>
      </c>
      <c r="J9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99" s="3" t="str">
        <f>RIGHT(Network_Connections[[#This Row],[port/protocol]],LEN(Network_Connections[[#This Row],[port/protocol]])-FIND("/",Network_Connections[[#This Row],[port/protocol]]))</f>
        <v>0-65535</v>
      </c>
      <c r="L99" s="3">
        <f t="shared" si="2"/>
        <v>0</v>
      </c>
    </row>
    <row r="100" spans="1:12" x14ac:dyDescent="0.2">
      <c r="A100" s="3" t="s">
        <v>166</v>
      </c>
      <c r="B100" s="3" t="str">
        <f xml:space="preserve"> SUBSTITUTE(RIGHT(SUBSTITUTE(Network_Connections[[#This Row],[from]],"_",REPT("*",10)),10),"*","")</f>
        <v>FW2</v>
      </c>
      <c r="C100" s="3" t="str">
        <f>INDEX(Assets[Asset_ID],MATCH(Network_Connections[[#This Row],[From1]],Assets[name],0))</f>
        <v>A00005</v>
      </c>
      <c r="D100" s="3" t="s">
        <v>170</v>
      </c>
      <c r="E100" s="3" t="str">
        <f xml:space="preserve"> SUBSTITUTE(RIGHT(SUBSTITUTE(Network_Connections[[#This Row],[to]],"_",REPT("*",10)),10),"*","")</f>
        <v>VPNSRV</v>
      </c>
      <c r="F100" s="3" t="str">
        <f>INDEX(Assets[Asset_ID],MATCH(Network_Connections[[#This Row],[From2]],Assets[name],0))</f>
        <v>A00002</v>
      </c>
      <c r="G100" s="3" t="s">
        <v>145</v>
      </c>
      <c r="H100" s="3" t="s">
        <v>144</v>
      </c>
      <c r="I100" s="3">
        <v>0</v>
      </c>
      <c r="J10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00" s="3" t="str">
        <f>RIGHT(Network_Connections[[#This Row],[port/protocol]],LEN(Network_Connections[[#This Row],[port/protocol]])-FIND("/",Network_Connections[[#This Row],[port/protocol]]))</f>
        <v>0-65535</v>
      </c>
      <c r="L100" s="3">
        <f t="shared" si="2"/>
        <v>0</v>
      </c>
    </row>
    <row r="101" spans="1:12" x14ac:dyDescent="0.2">
      <c r="A101" s="3" t="s">
        <v>166</v>
      </c>
      <c r="B101" s="3" t="str">
        <f xml:space="preserve"> SUBSTITUTE(RIGHT(SUBSTITUTE(Network_Connections[[#This Row],[from]],"_",REPT("*",10)),10),"*","")</f>
        <v>FW2</v>
      </c>
      <c r="C101" s="3" t="str">
        <f>INDEX(Assets[Asset_ID],MATCH(Network_Connections[[#This Row],[From1]],Assets[name],0))</f>
        <v>A00005</v>
      </c>
      <c r="D101" s="3" t="s">
        <v>169</v>
      </c>
      <c r="E101" s="3" t="str">
        <f xml:space="preserve"> SUBSTITUTE(RIGHT(SUBSTITUTE(Network_Connections[[#This Row],[to]],"_",REPT("*",10)),10),"*","")</f>
        <v>WebSRV1</v>
      </c>
      <c r="F101" s="3" t="str">
        <f>INDEX(Assets[Asset_ID],MATCH(Network_Connections[[#This Row],[From2]],Assets[name],0))</f>
        <v>A00003</v>
      </c>
      <c r="G101" s="3" t="s">
        <v>145</v>
      </c>
      <c r="H101" s="3" t="s">
        <v>144</v>
      </c>
      <c r="I101" s="3">
        <v>0</v>
      </c>
      <c r="J10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01" s="3" t="str">
        <f>RIGHT(Network_Connections[[#This Row],[port/protocol]],LEN(Network_Connections[[#This Row],[port/protocol]])-FIND("/",Network_Connections[[#This Row],[port/protocol]]))</f>
        <v>0-65535</v>
      </c>
      <c r="L101" s="3">
        <f t="shared" si="2"/>
        <v>0</v>
      </c>
    </row>
    <row r="102" spans="1:12" x14ac:dyDescent="0.2">
      <c r="A102" s="3" t="s">
        <v>166</v>
      </c>
      <c r="B102" s="3" t="str">
        <f xml:space="preserve"> SUBSTITUTE(RIGHT(SUBSTITUTE(Network_Connections[[#This Row],[from]],"_",REPT("*",10)),10),"*","")</f>
        <v>FW2</v>
      </c>
      <c r="C102" s="3" t="str">
        <f>INDEX(Assets[Asset_ID],MATCH(Network_Connections[[#This Row],[From1]],Assets[name],0))</f>
        <v>A00005</v>
      </c>
      <c r="D102" s="3" t="s">
        <v>168</v>
      </c>
      <c r="E102" s="3" t="str">
        <f xml:space="preserve"> SUBSTITUTE(RIGHT(SUBSTITUTE(Network_Connections[[#This Row],[to]],"_",REPT("*",10)),10),"*","")</f>
        <v>WebSRV2</v>
      </c>
      <c r="F102" s="3" t="str">
        <f>INDEX(Assets[Asset_ID],MATCH(Network_Connections[[#This Row],[From2]],Assets[name],0))</f>
        <v>A00004</v>
      </c>
      <c r="G102" s="3" t="s">
        <v>145</v>
      </c>
      <c r="H102" s="3" t="s">
        <v>144</v>
      </c>
      <c r="I102" s="3">
        <v>0</v>
      </c>
      <c r="J10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02" s="3" t="str">
        <f>RIGHT(Network_Connections[[#This Row],[port/protocol]],LEN(Network_Connections[[#This Row],[port/protocol]])-FIND("/",Network_Connections[[#This Row],[port/protocol]]))</f>
        <v>0-65535</v>
      </c>
      <c r="L102" s="3">
        <f t="shared" si="2"/>
        <v>0</v>
      </c>
    </row>
    <row r="103" spans="1:12" x14ac:dyDescent="0.2">
      <c r="A103" s="3" t="s">
        <v>166</v>
      </c>
      <c r="B103" s="3" t="str">
        <f xml:space="preserve"> SUBSTITUTE(RIGHT(SUBSTITUTE(Network_Connections[[#This Row],[from]],"_",REPT("*",10)),10),"*","")</f>
        <v>FW2</v>
      </c>
      <c r="C103" s="3" t="str">
        <f>INDEX(Assets[Asset_ID],MATCH(Network_Connections[[#This Row],[From1]],Assets[name],0))</f>
        <v>A00005</v>
      </c>
      <c r="D103" s="3" t="s">
        <v>165</v>
      </c>
      <c r="E103" s="3" t="str">
        <f xml:space="preserve"> SUBSTITUTE(RIGHT(SUBSTITUTE(Network_Connections[[#This Row],[to]],"_",REPT("*",10)),10),"*","")</f>
        <v>SW1</v>
      </c>
      <c r="F103" s="3" t="str">
        <f>INDEX(Assets[Asset_ID],MATCH(Network_Connections[[#This Row],[From2]],Assets[name],0))</f>
        <v>A00006</v>
      </c>
      <c r="G103" s="3" t="s">
        <v>145</v>
      </c>
      <c r="H103" s="3" t="s">
        <v>144</v>
      </c>
      <c r="I103" s="3">
        <v>1</v>
      </c>
      <c r="J10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"A00005"-&gt;"A00006"@00:("IP", "0-65535");</v>
      </c>
      <c r="K103" s="3" t="str">
        <f>RIGHT(Network_Connections[[#This Row],[port/protocol]],LEN(Network_Connections[[#This Row],[port/protocol]])-FIND("/",Network_Connections[[#This Row],[port/protocol]]))</f>
        <v>0-65535</v>
      </c>
      <c r="L103" s="3">
        <f t="shared" si="2"/>
        <v>0</v>
      </c>
    </row>
    <row r="104" spans="1:12" x14ac:dyDescent="0.2">
      <c r="A104" s="3" t="s">
        <v>166</v>
      </c>
      <c r="B104" s="3" t="str">
        <f xml:space="preserve"> SUBSTITUTE(RIGHT(SUBSTITUTE(Network_Connections[[#This Row],[from]],"_",REPT("*",10)),10),"*","")</f>
        <v>FW2</v>
      </c>
      <c r="C104" s="3" t="str">
        <f>INDEX(Assets[Asset_ID],MATCH(Network_Connections[[#This Row],[From1]],Assets[name],0))</f>
        <v>A00005</v>
      </c>
      <c r="D104" s="3" t="s">
        <v>164</v>
      </c>
      <c r="E104" s="3" t="str">
        <f xml:space="preserve"> SUBSTITUTE(RIGHT(SUBSTITUTE(Network_Connections[[#This Row],[to]],"_",REPT("*",10)),10),"*","")</f>
        <v>AD</v>
      </c>
      <c r="F104" s="3" t="str">
        <f>INDEX(Assets[Asset_ID],MATCH(Network_Connections[[#This Row],[From2]],Assets[name],0))</f>
        <v>A00007</v>
      </c>
      <c r="G104" s="3" t="s">
        <v>145</v>
      </c>
      <c r="H104" s="3" t="s">
        <v>144</v>
      </c>
      <c r="I104" s="3">
        <v>1</v>
      </c>
      <c r="J10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"A00005"-&gt;"A00007"@00:("IP", "0-65535");</v>
      </c>
      <c r="K104" s="3" t="str">
        <f>RIGHT(Network_Connections[[#This Row],[port/protocol]],LEN(Network_Connections[[#This Row],[port/protocol]])-FIND("/",Network_Connections[[#This Row],[port/protocol]]))</f>
        <v>0-65535</v>
      </c>
      <c r="L104" s="3">
        <f t="shared" si="2"/>
        <v>0</v>
      </c>
    </row>
    <row r="105" spans="1:12" x14ac:dyDescent="0.2">
      <c r="A105" s="3" t="s">
        <v>166</v>
      </c>
      <c r="B105" s="3" t="str">
        <f xml:space="preserve"> SUBSTITUTE(RIGHT(SUBSTITUTE(Network_Connections[[#This Row],[from]],"_",REPT("*",10)),10),"*","")</f>
        <v>FW2</v>
      </c>
      <c r="C105" s="3" t="str">
        <f>INDEX(Assets[Asset_ID],MATCH(Network_Connections[[#This Row],[From1]],Assets[name],0))</f>
        <v>A00005</v>
      </c>
      <c r="D105" s="3" t="s">
        <v>163</v>
      </c>
      <c r="E105" s="3" t="str">
        <f xml:space="preserve"> SUBSTITUTE(RIGHT(SUBSTITUTE(Network_Connections[[#This Row],[to]],"_",REPT("*",10)),10),"*","")</f>
        <v>ERP</v>
      </c>
      <c r="F105" s="3" t="str">
        <f>INDEX(Assets[Asset_ID],MATCH(Network_Connections[[#This Row],[From2]],Assets[name],0))</f>
        <v>A00008</v>
      </c>
      <c r="G105" s="3" t="s">
        <v>145</v>
      </c>
      <c r="H105" s="3" t="s">
        <v>144</v>
      </c>
      <c r="I105" s="3">
        <v>1</v>
      </c>
      <c r="J10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"A00005"-&gt;"A00008"@00:("IP", "0-65535");</v>
      </c>
      <c r="K105" s="3" t="str">
        <f>RIGHT(Network_Connections[[#This Row],[port/protocol]],LEN(Network_Connections[[#This Row],[port/protocol]])-FIND("/",Network_Connections[[#This Row],[port/protocol]]))</f>
        <v>0-65535</v>
      </c>
      <c r="L105" s="3">
        <f t="shared" si="2"/>
        <v>0</v>
      </c>
    </row>
    <row r="106" spans="1:12" x14ac:dyDescent="0.2">
      <c r="A106" s="3" t="s">
        <v>166</v>
      </c>
      <c r="B106" s="3" t="str">
        <f xml:space="preserve"> SUBSTITUTE(RIGHT(SUBSTITUTE(Network_Connections[[#This Row],[from]],"_",REPT("*",10)),10),"*","")</f>
        <v>FW2</v>
      </c>
      <c r="C106" s="3" t="str">
        <f>INDEX(Assets[Asset_ID],MATCH(Network_Connections[[#This Row],[From1]],Assets[name],0))</f>
        <v>A00005</v>
      </c>
      <c r="D106" s="3" t="s">
        <v>162</v>
      </c>
      <c r="E106" s="3" t="str">
        <f xml:space="preserve"> SUBSTITUTE(RIGHT(SUBSTITUTE(Network_Connections[[#This Row],[to]],"_",REPT("*",10)),10),"*","")</f>
        <v>Banking</v>
      </c>
      <c r="F106" s="3" t="str">
        <f>INDEX(Assets[Asset_ID],MATCH(Network_Connections[[#This Row],[From2]],Assets[name],0))</f>
        <v>A00009</v>
      </c>
      <c r="G106" s="3" t="s">
        <v>145</v>
      </c>
      <c r="H106" s="3" t="s">
        <v>144</v>
      </c>
      <c r="I106" s="3">
        <v>1</v>
      </c>
      <c r="J10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"A00005"-&gt;"A00009"@00:("IP", "0-65535");</v>
      </c>
      <c r="K106" s="3" t="str">
        <f>RIGHT(Network_Connections[[#This Row],[port/protocol]],LEN(Network_Connections[[#This Row],[port/protocol]])-FIND("/",Network_Connections[[#This Row],[port/protocol]]))</f>
        <v>0-65535</v>
      </c>
      <c r="L106" s="3">
        <f t="shared" si="2"/>
        <v>0</v>
      </c>
    </row>
    <row r="107" spans="1:12" x14ac:dyDescent="0.2">
      <c r="A107" s="3" t="s">
        <v>166</v>
      </c>
      <c r="B107" s="3" t="str">
        <f xml:space="preserve"> SUBSTITUTE(RIGHT(SUBSTITUTE(Network_Connections[[#This Row],[from]],"_",REPT("*",10)),10),"*","")</f>
        <v>FW2</v>
      </c>
      <c r="C107" s="3" t="str">
        <f>INDEX(Assets[Asset_ID],MATCH(Network_Connections[[#This Row],[From1]],Assets[name],0))</f>
        <v>A00005</v>
      </c>
      <c r="D107" s="3" t="s">
        <v>161</v>
      </c>
      <c r="E107" s="3" t="str">
        <f xml:space="preserve"> SUBSTITUTE(RIGHT(SUBSTITUTE(Network_Connections[[#This Row],[to]],"_",REPT("*",10)),10),"*","")</f>
        <v>Email</v>
      </c>
      <c r="F107" s="3" t="str">
        <f>INDEX(Assets[Asset_ID],MATCH(Network_Connections[[#This Row],[From2]],Assets[name],0))</f>
        <v>A00010</v>
      </c>
      <c r="G107" s="3" t="s">
        <v>145</v>
      </c>
      <c r="H107" s="3" t="s">
        <v>144</v>
      </c>
      <c r="I107" s="3">
        <v>1</v>
      </c>
      <c r="J10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"A00005"-&gt;"A00010"@00:("IP", "0-65535");</v>
      </c>
      <c r="K107" s="3" t="str">
        <f>RIGHT(Network_Connections[[#This Row],[port/protocol]],LEN(Network_Connections[[#This Row],[port/protocol]])-FIND("/",Network_Connections[[#This Row],[port/protocol]]))</f>
        <v>0-65535</v>
      </c>
      <c r="L107" s="3">
        <f t="shared" si="2"/>
        <v>0</v>
      </c>
    </row>
    <row r="108" spans="1:12" x14ac:dyDescent="0.2">
      <c r="A108" s="3" t="s">
        <v>166</v>
      </c>
      <c r="B108" s="3" t="str">
        <f xml:space="preserve"> SUBSTITUTE(RIGHT(SUBSTITUTE(Network_Connections[[#This Row],[from]],"_",REPT("*",10)),10),"*","")</f>
        <v>FW2</v>
      </c>
      <c r="C108" s="3" t="str">
        <f>INDEX(Assets[Asset_ID],MATCH(Network_Connections[[#This Row],[From1]],Assets[name],0))</f>
        <v>A00005</v>
      </c>
      <c r="D108" s="3" t="s">
        <v>160</v>
      </c>
      <c r="E108" s="3" t="str">
        <f xml:space="preserve"> SUBSTITUTE(RIGHT(SUBSTITUTE(Network_Connections[[#This Row],[to]],"_",REPT("*",10)),10),"*","")</f>
        <v>WMS</v>
      </c>
      <c r="F108" s="3" t="str">
        <f>INDEX(Assets[Asset_ID],MATCH(Network_Connections[[#This Row],[From2]],Assets[name],0))</f>
        <v>A00011</v>
      </c>
      <c r="G108" s="3" t="s">
        <v>145</v>
      </c>
      <c r="H108" s="3" t="s">
        <v>144</v>
      </c>
      <c r="I108" s="3">
        <v>1</v>
      </c>
      <c r="J10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"A00005"-&gt;"A00011"@00:("IP", "0-65535");</v>
      </c>
      <c r="K108" s="3" t="str">
        <f>RIGHT(Network_Connections[[#This Row],[port/protocol]],LEN(Network_Connections[[#This Row],[port/protocol]])-FIND("/",Network_Connections[[#This Row],[port/protocol]]))</f>
        <v>0-65535</v>
      </c>
      <c r="L108" s="3">
        <f t="shared" si="2"/>
        <v>0</v>
      </c>
    </row>
    <row r="109" spans="1:12" x14ac:dyDescent="0.2">
      <c r="A109" s="3" t="s">
        <v>166</v>
      </c>
      <c r="B109" s="3" t="str">
        <f xml:space="preserve"> SUBSTITUTE(RIGHT(SUBSTITUTE(Network_Connections[[#This Row],[from]],"_",REPT("*",10)),10),"*","")</f>
        <v>FW2</v>
      </c>
      <c r="C109" s="3" t="str">
        <f>INDEX(Assets[Asset_ID],MATCH(Network_Connections[[#This Row],[From1]],Assets[name],0))</f>
        <v>A00005</v>
      </c>
      <c r="D109" s="3" t="s">
        <v>159</v>
      </c>
      <c r="E109" s="3" t="str">
        <f xml:space="preserve"> SUBSTITUTE(RIGHT(SUBSTITUTE(Network_Connections[[#This Row],[to]],"_",REPT("*",10)),10),"*","")</f>
        <v>CRM</v>
      </c>
      <c r="F109" s="3" t="str">
        <f>INDEX(Assets[Asset_ID],MATCH(Network_Connections[[#This Row],[From2]],Assets[name],0))</f>
        <v>A00012</v>
      </c>
      <c r="G109" s="3" t="s">
        <v>145</v>
      </c>
      <c r="H109" s="3" t="s">
        <v>144</v>
      </c>
      <c r="I109" s="3">
        <v>1</v>
      </c>
      <c r="J10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"A00005"-&gt;"A00012"@00:("IP", "0-65535");</v>
      </c>
      <c r="K109" s="3" t="str">
        <f>RIGHT(Network_Connections[[#This Row],[port/protocol]],LEN(Network_Connections[[#This Row],[port/protocol]])-FIND("/",Network_Connections[[#This Row],[port/protocol]]))</f>
        <v>0-65535</v>
      </c>
      <c r="L109" s="3">
        <f t="shared" si="2"/>
        <v>0</v>
      </c>
    </row>
    <row r="110" spans="1:12" x14ac:dyDescent="0.2">
      <c r="A110" s="3" t="s">
        <v>166</v>
      </c>
      <c r="B110" s="3" t="str">
        <f xml:space="preserve"> SUBSTITUTE(RIGHT(SUBSTITUTE(Network_Connections[[#This Row],[from]],"_",REPT("*",10)),10),"*","")</f>
        <v>FW2</v>
      </c>
      <c r="C110" s="3" t="str">
        <f>INDEX(Assets[Asset_ID],MATCH(Network_Connections[[#This Row],[From1]],Assets[name],0))</f>
        <v>A00005</v>
      </c>
      <c r="D110" s="3" t="s">
        <v>158</v>
      </c>
      <c r="E110" s="3" t="str">
        <f xml:space="preserve"> SUBSTITUTE(RIGHT(SUBSTITUTE(Network_Connections[[#This Row],[to]],"_",REPT("*",10)),10),"*","")</f>
        <v>WIFI1</v>
      </c>
      <c r="F110" s="3" t="str">
        <f>INDEX(Assets[Asset_ID],MATCH(Network_Connections[[#This Row],[From2]],Assets[name],0))</f>
        <v>A00013</v>
      </c>
      <c r="G110" s="3" t="s">
        <v>145</v>
      </c>
      <c r="H110" s="3" t="s">
        <v>144</v>
      </c>
      <c r="I110" s="3">
        <v>0</v>
      </c>
      <c r="J11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0" s="3" t="str">
        <f>RIGHT(Network_Connections[[#This Row],[port/protocol]],LEN(Network_Connections[[#This Row],[port/protocol]])-FIND("/",Network_Connections[[#This Row],[port/protocol]]))</f>
        <v>0-65535</v>
      </c>
      <c r="L110" s="3">
        <f t="shared" si="2"/>
        <v>0</v>
      </c>
    </row>
    <row r="111" spans="1:12" x14ac:dyDescent="0.2">
      <c r="A111" s="3" t="s">
        <v>166</v>
      </c>
      <c r="B111" s="3" t="str">
        <f xml:space="preserve"> SUBSTITUTE(RIGHT(SUBSTITUTE(Network_Connections[[#This Row],[from]],"_",REPT("*",10)),10),"*","")</f>
        <v>FW2</v>
      </c>
      <c r="C111" s="3" t="str">
        <f>INDEX(Assets[Asset_ID],MATCH(Network_Connections[[#This Row],[From1]],Assets[name],0))</f>
        <v>A00005</v>
      </c>
      <c r="D111" s="3" t="s">
        <v>157</v>
      </c>
      <c r="E111" s="3" t="str">
        <f xml:space="preserve"> SUBSTITUTE(RIGHT(SUBSTITUTE(Network_Connections[[#This Row],[to]],"_",REPT("*",10)),10),"*","")</f>
        <v>WS1</v>
      </c>
      <c r="F111" s="3" t="str">
        <f>INDEX(Assets[Asset_ID],MATCH(Network_Connections[[#This Row],[From2]],Assets[name],0))</f>
        <v>A00014</v>
      </c>
      <c r="G111" s="3" t="s">
        <v>145</v>
      </c>
      <c r="H111" s="3" t="s">
        <v>144</v>
      </c>
      <c r="I111" s="3">
        <v>0</v>
      </c>
      <c r="J11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1" s="3" t="str">
        <f>RIGHT(Network_Connections[[#This Row],[port/protocol]],LEN(Network_Connections[[#This Row],[port/protocol]])-FIND("/",Network_Connections[[#This Row],[port/protocol]]))</f>
        <v>0-65535</v>
      </c>
      <c r="L111" s="3">
        <f t="shared" si="2"/>
        <v>0</v>
      </c>
    </row>
    <row r="112" spans="1:12" x14ac:dyDescent="0.2">
      <c r="A112" s="3" t="s">
        <v>166</v>
      </c>
      <c r="B112" s="3" t="str">
        <f xml:space="preserve"> SUBSTITUTE(RIGHT(SUBSTITUTE(Network_Connections[[#This Row],[from]],"_",REPT("*",10)),10),"*","")</f>
        <v>FW2</v>
      </c>
      <c r="C112" s="3" t="str">
        <f>INDEX(Assets[Asset_ID],MATCH(Network_Connections[[#This Row],[From1]],Assets[name],0))</f>
        <v>A00005</v>
      </c>
      <c r="D112" s="3" t="s">
        <v>156</v>
      </c>
      <c r="E112" s="3" t="str">
        <f xml:space="preserve"> SUBSTITUTE(RIGHT(SUBSTITUTE(Network_Connections[[#This Row],[to]],"_",REPT("*",10)),10),"*","")</f>
        <v>FW3</v>
      </c>
      <c r="F112" s="3" t="str">
        <f>INDEX(Assets[Asset_ID],MATCH(Network_Connections[[#This Row],[From2]],Assets[name],0))</f>
        <v>A00015</v>
      </c>
      <c r="G112" s="3" t="s">
        <v>145</v>
      </c>
      <c r="H112" s="3" t="s">
        <v>144</v>
      </c>
      <c r="I112" s="3">
        <v>1</v>
      </c>
      <c r="J11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"A00005"-&gt;"A00015"@00:("IP", "0-65535");</v>
      </c>
      <c r="K112" s="3" t="str">
        <f>RIGHT(Network_Connections[[#This Row],[port/protocol]],LEN(Network_Connections[[#This Row],[port/protocol]])-FIND("/",Network_Connections[[#This Row],[port/protocol]]))</f>
        <v>0-65535</v>
      </c>
      <c r="L112" s="3">
        <f t="shared" si="2"/>
        <v>0</v>
      </c>
    </row>
    <row r="113" spans="1:12" x14ac:dyDescent="0.2">
      <c r="A113" s="3" t="s">
        <v>166</v>
      </c>
      <c r="B113" s="3" t="str">
        <f xml:space="preserve"> SUBSTITUTE(RIGHT(SUBSTITUTE(Network_Connections[[#This Row],[from]],"_",REPT("*",10)),10),"*","")</f>
        <v>FW2</v>
      </c>
      <c r="C113" s="3" t="str">
        <f>INDEX(Assets[Asset_ID],MATCH(Network_Connections[[#This Row],[From1]],Assets[name],0))</f>
        <v>A00005</v>
      </c>
      <c r="D113" s="3" t="s">
        <v>155</v>
      </c>
      <c r="E113" s="3" t="str">
        <f xml:space="preserve"> SUBSTITUTE(RIGHT(SUBSTITUTE(Network_Connections[[#This Row],[to]],"_",REPT("*",10)),10),"*","")</f>
        <v>SW2</v>
      </c>
      <c r="F113" s="3" t="str">
        <f>INDEX(Assets[Asset_ID],MATCH(Network_Connections[[#This Row],[From2]],Assets[name],0))</f>
        <v>A00016</v>
      </c>
      <c r="G113" s="3" t="s">
        <v>145</v>
      </c>
      <c r="H113" s="3" t="s">
        <v>144</v>
      </c>
      <c r="I113" s="3">
        <v>0</v>
      </c>
      <c r="J11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3" s="3" t="str">
        <f>RIGHT(Network_Connections[[#This Row],[port/protocol]],LEN(Network_Connections[[#This Row],[port/protocol]])-FIND("/",Network_Connections[[#This Row],[port/protocol]]))</f>
        <v>0-65535</v>
      </c>
      <c r="L113" s="3">
        <f t="shared" si="2"/>
        <v>0</v>
      </c>
    </row>
    <row r="114" spans="1:12" x14ac:dyDescent="0.2">
      <c r="A114" s="3" t="s">
        <v>166</v>
      </c>
      <c r="B114" s="3" t="str">
        <f xml:space="preserve"> SUBSTITUTE(RIGHT(SUBSTITUTE(Network_Connections[[#This Row],[from]],"_",REPT("*",10)),10),"*","")</f>
        <v>FW2</v>
      </c>
      <c r="C114" s="3" t="str">
        <f>INDEX(Assets[Asset_ID],MATCH(Network_Connections[[#This Row],[From1]],Assets[name],0))</f>
        <v>A00005</v>
      </c>
      <c r="D114" s="3" t="s">
        <v>154</v>
      </c>
      <c r="E114" s="3" t="str">
        <f xml:space="preserve"> SUBSTITUTE(RIGHT(SUBSTITUTE(Network_Connections[[#This Row],[to]],"_",REPT("*",10)),10),"*","")</f>
        <v>WS2</v>
      </c>
      <c r="F114" s="3" t="str">
        <f>INDEX(Assets[Asset_ID],MATCH(Network_Connections[[#This Row],[From2]],Assets[name],0))</f>
        <v>A00017</v>
      </c>
      <c r="G114" s="3" t="s">
        <v>145</v>
      </c>
      <c r="H114" s="3" t="s">
        <v>144</v>
      </c>
      <c r="I114" s="3">
        <v>0</v>
      </c>
      <c r="J11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4" s="3" t="str">
        <f>RIGHT(Network_Connections[[#This Row],[port/protocol]],LEN(Network_Connections[[#This Row],[port/protocol]])-FIND("/",Network_Connections[[#This Row],[port/protocol]]))</f>
        <v>0-65535</v>
      </c>
      <c r="L114" s="3">
        <f t="shared" si="2"/>
        <v>0</v>
      </c>
    </row>
    <row r="115" spans="1:12" x14ac:dyDescent="0.2">
      <c r="A115" s="3" t="s">
        <v>166</v>
      </c>
      <c r="B115" s="3" t="str">
        <f xml:space="preserve"> SUBSTITUTE(RIGHT(SUBSTITUTE(Network_Connections[[#This Row],[from]],"_",REPT("*",10)),10),"*","")</f>
        <v>FW2</v>
      </c>
      <c r="C115" s="3" t="str">
        <f>INDEX(Assets[Asset_ID],MATCH(Network_Connections[[#This Row],[From1]],Assets[name],0))</f>
        <v>A00005</v>
      </c>
      <c r="D115" s="3" t="s">
        <v>153</v>
      </c>
      <c r="E115" s="3" t="str">
        <f xml:space="preserve"> SUBSTITUTE(RIGHT(SUBSTITUTE(Network_Connections[[#This Row],[to]],"_",REPT("*",10)),10),"*","")</f>
        <v>WS3</v>
      </c>
      <c r="F115" s="3" t="str">
        <f>INDEX(Assets[Asset_ID],MATCH(Network_Connections[[#This Row],[From2]],Assets[name],0))</f>
        <v>A00018</v>
      </c>
      <c r="G115" s="3" t="s">
        <v>145</v>
      </c>
      <c r="H115" s="3" t="s">
        <v>144</v>
      </c>
      <c r="I115" s="3">
        <v>0</v>
      </c>
      <c r="J11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5" s="3" t="str">
        <f>RIGHT(Network_Connections[[#This Row],[port/protocol]],LEN(Network_Connections[[#This Row],[port/protocol]])-FIND("/",Network_Connections[[#This Row],[port/protocol]]))</f>
        <v>0-65535</v>
      </c>
      <c r="L115" s="3">
        <f t="shared" si="2"/>
        <v>0</v>
      </c>
    </row>
    <row r="116" spans="1:12" x14ac:dyDescent="0.2">
      <c r="A116" s="3" t="s">
        <v>166</v>
      </c>
      <c r="B116" s="3" t="str">
        <f xml:space="preserve"> SUBSTITUTE(RIGHT(SUBSTITUTE(Network_Connections[[#This Row],[from]],"_",REPT("*",10)),10),"*","")</f>
        <v>FW2</v>
      </c>
      <c r="C116" s="3" t="str">
        <f>INDEX(Assets[Asset_ID],MATCH(Network_Connections[[#This Row],[From1]],Assets[name],0))</f>
        <v>A00005</v>
      </c>
      <c r="D116" s="3" t="s">
        <v>152</v>
      </c>
      <c r="E116" s="3" t="str">
        <f xml:space="preserve"> SUBSTITUTE(RIGHT(SUBSTITUTE(Network_Connections[[#This Row],[to]],"_",REPT("*",10)),10),"*","")</f>
        <v>WS4</v>
      </c>
      <c r="F116" s="3" t="str">
        <f>INDEX(Assets[Asset_ID],MATCH(Network_Connections[[#This Row],[From2]],Assets[name],0))</f>
        <v>A00019</v>
      </c>
      <c r="G116" s="3" t="s">
        <v>145</v>
      </c>
      <c r="H116" s="3" t="s">
        <v>144</v>
      </c>
      <c r="I116" s="3">
        <v>0</v>
      </c>
      <c r="J11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6" s="3" t="str">
        <f>RIGHT(Network_Connections[[#This Row],[port/protocol]],LEN(Network_Connections[[#This Row],[port/protocol]])-FIND("/",Network_Connections[[#This Row],[port/protocol]]))</f>
        <v>0-65535</v>
      </c>
      <c r="L116" s="3">
        <f t="shared" si="2"/>
        <v>0</v>
      </c>
    </row>
    <row r="117" spans="1:12" x14ac:dyDescent="0.2">
      <c r="A117" s="3" t="s">
        <v>166</v>
      </c>
      <c r="B117" s="3" t="str">
        <f xml:space="preserve"> SUBSTITUTE(RIGHT(SUBSTITUTE(Network_Connections[[#This Row],[from]],"_",REPT("*",10)),10),"*","")</f>
        <v>FW2</v>
      </c>
      <c r="C117" s="3" t="str">
        <f>INDEX(Assets[Asset_ID],MATCH(Network_Connections[[#This Row],[From1]],Assets[name],0))</f>
        <v>A00005</v>
      </c>
      <c r="D117" s="3" t="s">
        <v>151</v>
      </c>
      <c r="E117" s="3" t="str">
        <f xml:space="preserve"> SUBSTITUTE(RIGHT(SUBSTITUTE(Network_Connections[[#This Row],[to]],"_",REPT("*",10)),10),"*","")</f>
        <v>FW4</v>
      </c>
      <c r="F117" s="3" t="str">
        <f>INDEX(Assets[Asset_ID],MATCH(Network_Connections[[#This Row],[From2]],Assets[name],0))</f>
        <v>A00020</v>
      </c>
      <c r="G117" s="3" t="s">
        <v>145</v>
      </c>
      <c r="H117" s="3" t="s">
        <v>144</v>
      </c>
      <c r="I117" s="3">
        <v>1</v>
      </c>
      <c r="J11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"A00005"-&gt;"A00020"@00:("IP", "0-65535");</v>
      </c>
      <c r="K117" s="3" t="str">
        <f>RIGHT(Network_Connections[[#This Row],[port/protocol]],LEN(Network_Connections[[#This Row],[port/protocol]])-FIND("/",Network_Connections[[#This Row],[port/protocol]]))</f>
        <v>0-65535</v>
      </c>
      <c r="L117" s="3">
        <f t="shared" si="2"/>
        <v>0</v>
      </c>
    </row>
    <row r="118" spans="1:12" x14ac:dyDescent="0.2">
      <c r="A118" s="3" t="s">
        <v>166</v>
      </c>
      <c r="B118" s="3" t="str">
        <f xml:space="preserve"> SUBSTITUTE(RIGHT(SUBSTITUTE(Network_Connections[[#This Row],[from]],"_",REPT("*",10)),10),"*","")</f>
        <v>FW2</v>
      </c>
      <c r="C118" s="3" t="str">
        <f>INDEX(Assets[Asset_ID],MATCH(Network_Connections[[#This Row],[From1]],Assets[name],0))</f>
        <v>A00005</v>
      </c>
      <c r="D118" s="3" t="s">
        <v>150</v>
      </c>
      <c r="E118" s="3" t="str">
        <f xml:space="preserve"> SUBSTITUTE(RIGHT(SUBSTITUTE(Network_Connections[[#This Row],[to]],"_",REPT("*",10)),10),"*","")</f>
        <v>WIFI2</v>
      </c>
      <c r="F118" s="3" t="str">
        <f>INDEX(Assets[Asset_ID],MATCH(Network_Connections[[#This Row],[From2]],Assets[name],0))</f>
        <v>A00021</v>
      </c>
      <c r="G118" s="3" t="s">
        <v>145</v>
      </c>
      <c r="H118" s="3" t="s">
        <v>144</v>
      </c>
      <c r="I118" s="3">
        <v>0</v>
      </c>
      <c r="J11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8" s="3" t="str">
        <f>RIGHT(Network_Connections[[#This Row],[port/protocol]],LEN(Network_Connections[[#This Row],[port/protocol]])-FIND("/",Network_Connections[[#This Row],[port/protocol]]))</f>
        <v>0-65535</v>
      </c>
      <c r="L118" s="3">
        <f t="shared" si="2"/>
        <v>0</v>
      </c>
    </row>
    <row r="119" spans="1:12" x14ac:dyDescent="0.2">
      <c r="A119" s="3" t="s">
        <v>166</v>
      </c>
      <c r="B119" s="3" t="str">
        <f xml:space="preserve"> SUBSTITUTE(RIGHT(SUBSTITUTE(Network_Connections[[#This Row],[from]],"_",REPT("*",10)),10),"*","")</f>
        <v>FW2</v>
      </c>
      <c r="C119" s="3" t="str">
        <f>INDEX(Assets[Asset_ID],MATCH(Network_Connections[[#This Row],[From1]],Assets[name],0))</f>
        <v>A00005</v>
      </c>
      <c r="D119" s="3" t="s">
        <v>149</v>
      </c>
      <c r="E119" s="3" t="str">
        <f xml:space="preserve"> SUBSTITUTE(RIGHT(SUBSTITUTE(Network_Connections[[#This Row],[to]],"_",REPT("*",10)),10),"*","")</f>
        <v>WS5</v>
      </c>
      <c r="F119" s="3" t="str">
        <f>INDEX(Assets[Asset_ID],MATCH(Network_Connections[[#This Row],[From2]],Assets[name],0))</f>
        <v>A00022</v>
      </c>
      <c r="G119" s="3" t="s">
        <v>145</v>
      </c>
      <c r="H119" s="3" t="s">
        <v>144</v>
      </c>
      <c r="I119" s="3">
        <v>0</v>
      </c>
      <c r="J11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19" s="3" t="str">
        <f>RIGHT(Network_Connections[[#This Row],[port/protocol]],LEN(Network_Connections[[#This Row],[port/protocol]])-FIND("/",Network_Connections[[#This Row],[port/protocol]]))</f>
        <v>0-65535</v>
      </c>
      <c r="L119" s="3">
        <f t="shared" si="2"/>
        <v>0</v>
      </c>
    </row>
    <row r="120" spans="1:12" x14ac:dyDescent="0.2">
      <c r="A120" s="3" t="s">
        <v>166</v>
      </c>
      <c r="B120" s="3" t="str">
        <f xml:space="preserve"> SUBSTITUTE(RIGHT(SUBSTITUTE(Network_Connections[[#This Row],[from]],"_",REPT("*",10)),10),"*","")</f>
        <v>FW2</v>
      </c>
      <c r="C120" s="3" t="str">
        <f>INDEX(Assets[Asset_ID],MATCH(Network_Connections[[#This Row],[From1]],Assets[name],0))</f>
        <v>A00005</v>
      </c>
      <c r="D120" s="3" t="s">
        <v>148</v>
      </c>
      <c r="E120" s="3" t="str">
        <f xml:space="preserve"> SUBSTITUTE(RIGHT(SUBSTITUTE(Network_Connections[[#This Row],[to]],"_",REPT("*",10)),10),"*","")</f>
        <v>WS6</v>
      </c>
      <c r="F120" s="3" t="str">
        <f>INDEX(Assets[Asset_ID],MATCH(Network_Connections[[#This Row],[From2]],Assets[name],0))</f>
        <v>A00023</v>
      </c>
      <c r="G120" s="3" t="s">
        <v>145</v>
      </c>
      <c r="H120" s="3" t="s">
        <v>144</v>
      </c>
      <c r="I120" s="3">
        <v>0</v>
      </c>
      <c r="J12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20" s="3" t="str">
        <f>RIGHT(Network_Connections[[#This Row],[port/protocol]],LEN(Network_Connections[[#This Row],[port/protocol]])-FIND("/",Network_Connections[[#This Row],[port/protocol]]))</f>
        <v>0-65535</v>
      </c>
      <c r="L120" s="3">
        <f t="shared" si="2"/>
        <v>0</v>
      </c>
    </row>
    <row r="121" spans="1:12" x14ac:dyDescent="0.2">
      <c r="A121" s="3" t="s">
        <v>166</v>
      </c>
      <c r="B121" s="3" t="str">
        <f xml:space="preserve"> SUBSTITUTE(RIGHT(SUBSTITUTE(Network_Connections[[#This Row],[from]],"_",REPT("*",10)),10),"*","")</f>
        <v>FW2</v>
      </c>
      <c r="C121" s="3" t="str">
        <f>INDEX(Assets[Asset_ID],MATCH(Network_Connections[[#This Row],[From1]],Assets[name],0))</f>
        <v>A00005</v>
      </c>
      <c r="D121" s="3" t="s">
        <v>146</v>
      </c>
      <c r="E121" s="3" t="str">
        <f xml:space="preserve"> SUBSTITUTE(RIGHT(SUBSTITUTE(Network_Connections[[#This Row],[to]],"_",REPT("*",10)),10),"*","")</f>
        <v>WS7</v>
      </c>
      <c r="F121" s="3" t="str">
        <f>INDEX(Assets[Asset_ID],MATCH(Network_Connections[[#This Row],[From2]],Assets[name],0))</f>
        <v>A00024</v>
      </c>
      <c r="G121" s="3" t="s">
        <v>145</v>
      </c>
      <c r="H121" s="3" t="s">
        <v>144</v>
      </c>
      <c r="I121" s="3">
        <v>0</v>
      </c>
      <c r="J12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21" s="3" t="str">
        <f>RIGHT(Network_Connections[[#This Row],[port/protocol]],LEN(Network_Connections[[#This Row],[port/protocol]])-FIND("/",Network_Connections[[#This Row],[port/protocol]]))</f>
        <v>0-65535</v>
      </c>
      <c r="L121" s="3">
        <f t="shared" si="2"/>
        <v>0</v>
      </c>
    </row>
    <row r="122" spans="1:12" x14ac:dyDescent="0.2">
      <c r="A122" s="3" t="s">
        <v>166</v>
      </c>
      <c r="B122" s="3" t="str">
        <f xml:space="preserve"> SUBSTITUTE(RIGHT(SUBSTITUTE(Network_Connections[[#This Row],[from]],"_",REPT("*",10)),10),"*","")</f>
        <v>FW2</v>
      </c>
      <c r="C122" s="3" t="str">
        <f>INDEX(Assets[Asset_ID],MATCH(Network_Connections[[#This Row],[From1]],Assets[name],0))</f>
        <v>A00005</v>
      </c>
      <c r="D122" s="3" t="s">
        <v>147</v>
      </c>
      <c r="E122" s="3" t="str">
        <f xml:space="preserve"> SUBSTITUTE(RIGHT(SUBSTITUTE(Network_Connections[[#This Row],[to]],"_",REPT("*",10)),10),"*","")</f>
        <v>WS8</v>
      </c>
      <c r="F122" s="3" t="str">
        <f>INDEX(Assets[Asset_ID],MATCH(Network_Connections[[#This Row],[From2]],Assets[name],0))</f>
        <v>A00025</v>
      </c>
      <c r="G122" s="3" t="s">
        <v>145</v>
      </c>
      <c r="H122" s="3" t="s">
        <v>144</v>
      </c>
      <c r="I122" s="3">
        <v>0</v>
      </c>
      <c r="J12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22" s="3" t="str">
        <f>RIGHT(Network_Connections[[#This Row],[port/protocol]],LEN(Network_Connections[[#This Row],[port/protocol]])-FIND("/",Network_Connections[[#This Row],[port/protocol]]))</f>
        <v>0-65535</v>
      </c>
      <c r="L122" s="3">
        <f t="shared" si="2"/>
        <v>0</v>
      </c>
    </row>
    <row r="123" spans="1:12" x14ac:dyDescent="0.2">
      <c r="A123" s="3" t="s">
        <v>165</v>
      </c>
      <c r="B123" s="3" t="str">
        <f xml:space="preserve"> SUBSTITUTE(RIGHT(SUBSTITUTE(Network_Connections[[#This Row],[from]],"_",REPT("*",10)),10),"*","")</f>
        <v>SW1</v>
      </c>
      <c r="C123" s="3" t="str">
        <f>INDEX(Assets[Asset_ID],MATCH(Network_Connections[[#This Row],[From1]],Assets[name],0))</f>
        <v>A00006</v>
      </c>
      <c r="D123" s="3" t="s">
        <v>171</v>
      </c>
      <c r="E123" s="3" t="str">
        <f xml:space="preserve"> SUBSTITUTE(RIGHT(SUBSTITUTE(Network_Connections[[#This Row],[to]],"_",REPT("*",10)),10),"*","")</f>
        <v>FW1</v>
      </c>
      <c r="F123" s="3" t="str">
        <f>INDEX(Assets[Asset_ID],MATCH(Network_Connections[[#This Row],[From2]],Assets[name],0))</f>
        <v>A00001</v>
      </c>
      <c r="G123" s="3" t="s">
        <v>145</v>
      </c>
      <c r="H123" s="3" t="s">
        <v>144</v>
      </c>
      <c r="I123" s="3">
        <v>0</v>
      </c>
      <c r="J12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23" s="3" t="str">
        <f>RIGHT(Network_Connections[[#This Row],[port/protocol]],LEN(Network_Connections[[#This Row],[port/protocol]])-FIND("/",Network_Connections[[#This Row],[port/protocol]]))</f>
        <v>0-65535</v>
      </c>
      <c r="L123" s="3">
        <f t="shared" si="2"/>
        <v>0</v>
      </c>
    </row>
    <row r="124" spans="1:12" x14ac:dyDescent="0.2">
      <c r="A124" s="3" t="s">
        <v>165</v>
      </c>
      <c r="B124" s="3" t="str">
        <f xml:space="preserve"> SUBSTITUTE(RIGHT(SUBSTITUTE(Network_Connections[[#This Row],[from]],"_",REPT("*",10)),10),"*","")</f>
        <v>SW1</v>
      </c>
      <c r="C124" s="3" t="str">
        <f>INDEX(Assets[Asset_ID],MATCH(Network_Connections[[#This Row],[From1]],Assets[name],0))</f>
        <v>A00006</v>
      </c>
      <c r="D124" s="3" t="s">
        <v>170</v>
      </c>
      <c r="E124" s="3" t="str">
        <f xml:space="preserve"> SUBSTITUTE(RIGHT(SUBSTITUTE(Network_Connections[[#This Row],[to]],"_",REPT("*",10)),10),"*","")</f>
        <v>VPNSRV</v>
      </c>
      <c r="F124" s="3" t="str">
        <f>INDEX(Assets[Asset_ID],MATCH(Network_Connections[[#This Row],[From2]],Assets[name],0))</f>
        <v>A00002</v>
      </c>
      <c r="G124" s="3" t="s">
        <v>145</v>
      </c>
      <c r="H124" s="3" t="s">
        <v>144</v>
      </c>
      <c r="I124" s="3">
        <v>0</v>
      </c>
      <c r="J12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24" s="3" t="str">
        <f>RIGHT(Network_Connections[[#This Row],[port/protocol]],LEN(Network_Connections[[#This Row],[port/protocol]])-FIND("/",Network_Connections[[#This Row],[port/protocol]]))</f>
        <v>0-65535</v>
      </c>
      <c r="L124" s="3">
        <f t="shared" si="2"/>
        <v>0</v>
      </c>
    </row>
    <row r="125" spans="1:12" x14ac:dyDescent="0.2">
      <c r="A125" s="3" t="s">
        <v>165</v>
      </c>
      <c r="B125" s="3" t="str">
        <f xml:space="preserve"> SUBSTITUTE(RIGHT(SUBSTITUTE(Network_Connections[[#This Row],[from]],"_",REPT("*",10)),10),"*","")</f>
        <v>SW1</v>
      </c>
      <c r="C125" s="3" t="str">
        <f>INDEX(Assets[Asset_ID],MATCH(Network_Connections[[#This Row],[From1]],Assets[name],0))</f>
        <v>A00006</v>
      </c>
      <c r="D125" s="3" t="s">
        <v>169</v>
      </c>
      <c r="E125" s="3" t="str">
        <f xml:space="preserve"> SUBSTITUTE(RIGHT(SUBSTITUTE(Network_Connections[[#This Row],[to]],"_",REPT("*",10)),10),"*","")</f>
        <v>WebSRV1</v>
      </c>
      <c r="F125" s="3" t="str">
        <f>INDEX(Assets[Asset_ID],MATCH(Network_Connections[[#This Row],[From2]],Assets[name],0))</f>
        <v>A00003</v>
      </c>
      <c r="G125" s="3" t="s">
        <v>145</v>
      </c>
      <c r="H125" s="3" t="s">
        <v>144</v>
      </c>
      <c r="I125" s="3">
        <v>0</v>
      </c>
      <c r="J12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25" s="3" t="str">
        <f>RIGHT(Network_Connections[[#This Row],[port/protocol]],LEN(Network_Connections[[#This Row],[port/protocol]])-FIND("/",Network_Connections[[#This Row],[port/protocol]]))</f>
        <v>0-65535</v>
      </c>
      <c r="L125" s="3">
        <f t="shared" si="2"/>
        <v>0</v>
      </c>
    </row>
    <row r="126" spans="1:12" x14ac:dyDescent="0.2">
      <c r="A126" s="3" t="s">
        <v>165</v>
      </c>
      <c r="B126" s="3" t="str">
        <f xml:space="preserve"> SUBSTITUTE(RIGHT(SUBSTITUTE(Network_Connections[[#This Row],[from]],"_",REPT("*",10)),10),"*","")</f>
        <v>SW1</v>
      </c>
      <c r="C126" s="3" t="str">
        <f>INDEX(Assets[Asset_ID],MATCH(Network_Connections[[#This Row],[From1]],Assets[name],0))</f>
        <v>A00006</v>
      </c>
      <c r="D126" s="3" t="s">
        <v>168</v>
      </c>
      <c r="E126" s="3" t="str">
        <f xml:space="preserve"> SUBSTITUTE(RIGHT(SUBSTITUTE(Network_Connections[[#This Row],[to]],"_",REPT("*",10)),10),"*","")</f>
        <v>WebSRV2</v>
      </c>
      <c r="F126" s="3" t="str">
        <f>INDEX(Assets[Asset_ID],MATCH(Network_Connections[[#This Row],[From2]],Assets[name],0))</f>
        <v>A00004</v>
      </c>
      <c r="G126" s="3" t="s">
        <v>145</v>
      </c>
      <c r="H126" s="3" t="s">
        <v>144</v>
      </c>
      <c r="I126" s="3">
        <v>0</v>
      </c>
      <c r="J12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26" s="3" t="str">
        <f>RIGHT(Network_Connections[[#This Row],[port/protocol]],LEN(Network_Connections[[#This Row],[port/protocol]])-FIND("/",Network_Connections[[#This Row],[port/protocol]]))</f>
        <v>0-65535</v>
      </c>
      <c r="L126" s="3">
        <f t="shared" si="2"/>
        <v>0</v>
      </c>
    </row>
    <row r="127" spans="1:12" x14ac:dyDescent="0.2">
      <c r="A127" s="3" t="s">
        <v>165</v>
      </c>
      <c r="B127" s="3" t="str">
        <f xml:space="preserve"> SUBSTITUTE(RIGHT(SUBSTITUTE(Network_Connections[[#This Row],[from]],"_",REPT("*",10)),10),"*","")</f>
        <v>SW1</v>
      </c>
      <c r="C127" s="3" t="str">
        <f>INDEX(Assets[Asset_ID],MATCH(Network_Connections[[#This Row],[From1]],Assets[name],0))</f>
        <v>A00006</v>
      </c>
      <c r="D127" s="3" t="s">
        <v>166</v>
      </c>
      <c r="E127" s="3" t="str">
        <f xml:space="preserve"> SUBSTITUTE(RIGHT(SUBSTITUTE(Network_Connections[[#This Row],[to]],"_",REPT("*",10)),10),"*","")</f>
        <v>FW2</v>
      </c>
      <c r="F127" s="3" t="str">
        <f>INDEX(Assets[Asset_ID],MATCH(Network_Connections[[#This Row],[From2]],Assets[name],0))</f>
        <v>A00005</v>
      </c>
      <c r="G127" s="3" t="s">
        <v>145</v>
      </c>
      <c r="H127" s="3" t="s">
        <v>144</v>
      </c>
      <c r="I127" s="3">
        <v>1</v>
      </c>
      <c r="J12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"A00006"-&gt;"A00005"@00:("IP", "0-65535");</v>
      </c>
      <c r="K127" s="3" t="str">
        <f>RIGHT(Network_Connections[[#This Row],[port/protocol]],LEN(Network_Connections[[#This Row],[port/protocol]])-FIND("/",Network_Connections[[#This Row],[port/protocol]]))</f>
        <v>0-65535</v>
      </c>
      <c r="L127" s="3">
        <f t="shared" si="2"/>
        <v>0</v>
      </c>
    </row>
    <row r="128" spans="1:12" x14ac:dyDescent="0.2">
      <c r="A128" s="3" t="s">
        <v>165</v>
      </c>
      <c r="B128" s="3" t="str">
        <f xml:space="preserve"> SUBSTITUTE(RIGHT(SUBSTITUTE(Network_Connections[[#This Row],[from]],"_",REPT("*",10)),10),"*","")</f>
        <v>SW1</v>
      </c>
      <c r="C128" s="3" t="str">
        <f>INDEX(Assets[Asset_ID],MATCH(Network_Connections[[#This Row],[From1]],Assets[name],0))</f>
        <v>A00006</v>
      </c>
      <c r="D128" s="3" t="s">
        <v>164</v>
      </c>
      <c r="E128" s="3" t="str">
        <f xml:space="preserve"> SUBSTITUTE(RIGHT(SUBSTITUTE(Network_Connections[[#This Row],[to]],"_",REPT("*",10)),10),"*","")</f>
        <v>AD</v>
      </c>
      <c r="F128" s="3" t="str">
        <f>INDEX(Assets[Asset_ID],MATCH(Network_Connections[[#This Row],[From2]],Assets[name],0))</f>
        <v>A00007</v>
      </c>
      <c r="G128" s="3" t="s">
        <v>145</v>
      </c>
      <c r="H128" s="3" t="s">
        <v>144</v>
      </c>
      <c r="I128" s="3">
        <v>1</v>
      </c>
      <c r="J12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"A00006"-&gt;"A00007"@00:("IP", "0-65535");</v>
      </c>
      <c r="K128" s="3" t="str">
        <f>RIGHT(Network_Connections[[#This Row],[port/protocol]],LEN(Network_Connections[[#This Row],[port/protocol]])-FIND("/",Network_Connections[[#This Row],[port/protocol]]))</f>
        <v>0-65535</v>
      </c>
      <c r="L128" s="3">
        <f t="shared" si="2"/>
        <v>0</v>
      </c>
    </row>
    <row r="129" spans="1:12" x14ac:dyDescent="0.2">
      <c r="A129" s="3" t="s">
        <v>165</v>
      </c>
      <c r="B129" s="3" t="str">
        <f xml:space="preserve"> SUBSTITUTE(RIGHT(SUBSTITUTE(Network_Connections[[#This Row],[from]],"_",REPT("*",10)),10),"*","")</f>
        <v>SW1</v>
      </c>
      <c r="C129" s="3" t="str">
        <f>INDEX(Assets[Asset_ID],MATCH(Network_Connections[[#This Row],[From1]],Assets[name],0))</f>
        <v>A00006</v>
      </c>
      <c r="D129" s="3" t="s">
        <v>163</v>
      </c>
      <c r="E129" s="3" t="str">
        <f xml:space="preserve"> SUBSTITUTE(RIGHT(SUBSTITUTE(Network_Connections[[#This Row],[to]],"_",REPT("*",10)),10),"*","")</f>
        <v>ERP</v>
      </c>
      <c r="F129" s="3" t="str">
        <f>INDEX(Assets[Asset_ID],MATCH(Network_Connections[[#This Row],[From2]],Assets[name],0))</f>
        <v>A00008</v>
      </c>
      <c r="G129" s="3" t="s">
        <v>145</v>
      </c>
      <c r="H129" s="3" t="s">
        <v>144</v>
      </c>
      <c r="I129" s="3">
        <v>1</v>
      </c>
      <c r="J12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"A00006"-&gt;"A00008"@00:("IP", "0-65535");</v>
      </c>
      <c r="K129" s="3" t="str">
        <f>RIGHT(Network_Connections[[#This Row],[port/protocol]],LEN(Network_Connections[[#This Row],[port/protocol]])-FIND("/",Network_Connections[[#This Row],[port/protocol]]))</f>
        <v>0-65535</v>
      </c>
      <c r="L129" s="3">
        <f t="shared" si="2"/>
        <v>0</v>
      </c>
    </row>
    <row r="130" spans="1:12" x14ac:dyDescent="0.2">
      <c r="A130" s="3" t="s">
        <v>165</v>
      </c>
      <c r="B130" s="3" t="str">
        <f xml:space="preserve"> SUBSTITUTE(RIGHT(SUBSTITUTE(Network_Connections[[#This Row],[from]],"_",REPT("*",10)),10),"*","")</f>
        <v>SW1</v>
      </c>
      <c r="C130" s="3" t="str">
        <f>INDEX(Assets[Asset_ID],MATCH(Network_Connections[[#This Row],[From1]],Assets[name],0))</f>
        <v>A00006</v>
      </c>
      <c r="D130" s="3" t="s">
        <v>162</v>
      </c>
      <c r="E130" s="3" t="str">
        <f xml:space="preserve"> SUBSTITUTE(RIGHT(SUBSTITUTE(Network_Connections[[#This Row],[to]],"_",REPT("*",10)),10),"*","")</f>
        <v>Banking</v>
      </c>
      <c r="F130" s="3" t="str">
        <f>INDEX(Assets[Asset_ID],MATCH(Network_Connections[[#This Row],[From2]],Assets[name],0))</f>
        <v>A00009</v>
      </c>
      <c r="G130" s="3" t="s">
        <v>145</v>
      </c>
      <c r="H130" s="3" t="s">
        <v>144</v>
      </c>
      <c r="I130" s="3">
        <v>0</v>
      </c>
      <c r="J13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30" s="3" t="str">
        <f>RIGHT(Network_Connections[[#This Row],[port/protocol]],LEN(Network_Connections[[#This Row],[port/protocol]])-FIND("/",Network_Connections[[#This Row],[port/protocol]]))</f>
        <v>0-65535</v>
      </c>
      <c r="L130" s="3">
        <f t="shared" ref="L130:L193" si="3">IF(AND(C130=C129, F130=F129), L129+1, 0)</f>
        <v>0</v>
      </c>
    </row>
    <row r="131" spans="1:12" x14ac:dyDescent="0.2">
      <c r="A131" s="3" t="s">
        <v>165</v>
      </c>
      <c r="B131" s="3" t="str">
        <f xml:space="preserve"> SUBSTITUTE(RIGHT(SUBSTITUTE(Network_Connections[[#This Row],[from]],"_",REPT("*",10)),10),"*","")</f>
        <v>SW1</v>
      </c>
      <c r="C131" s="3" t="str">
        <f>INDEX(Assets[Asset_ID],MATCH(Network_Connections[[#This Row],[From1]],Assets[name],0))</f>
        <v>A00006</v>
      </c>
      <c r="D131" s="3" t="s">
        <v>161</v>
      </c>
      <c r="E131" s="3" t="str">
        <f xml:space="preserve"> SUBSTITUTE(RIGHT(SUBSTITUTE(Network_Connections[[#This Row],[to]],"_",REPT("*",10)),10),"*","")</f>
        <v>Email</v>
      </c>
      <c r="F131" s="3" t="str">
        <f>INDEX(Assets[Asset_ID],MATCH(Network_Connections[[#This Row],[From2]],Assets[name],0))</f>
        <v>A00010</v>
      </c>
      <c r="G131" s="3" t="s">
        <v>145</v>
      </c>
      <c r="H131" s="3" t="s">
        <v>144</v>
      </c>
      <c r="I131" s="3">
        <v>1</v>
      </c>
      <c r="J13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"A00006"-&gt;"A00010"@00:("IP", "0-65535");</v>
      </c>
      <c r="K131" s="3" t="str">
        <f>RIGHT(Network_Connections[[#This Row],[port/protocol]],LEN(Network_Connections[[#This Row],[port/protocol]])-FIND("/",Network_Connections[[#This Row],[port/protocol]]))</f>
        <v>0-65535</v>
      </c>
      <c r="L131" s="3">
        <f t="shared" si="3"/>
        <v>0</v>
      </c>
    </row>
    <row r="132" spans="1:12" x14ac:dyDescent="0.2">
      <c r="A132" s="3" t="s">
        <v>165</v>
      </c>
      <c r="B132" s="3" t="str">
        <f xml:space="preserve"> SUBSTITUTE(RIGHT(SUBSTITUTE(Network_Connections[[#This Row],[from]],"_",REPT("*",10)),10),"*","")</f>
        <v>SW1</v>
      </c>
      <c r="C132" s="3" t="str">
        <f>INDEX(Assets[Asset_ID],MATCH(Network_Connections[[#This Row],[From1]],Assets[name],0))</f>
        <v>A00006</v>
      </c>
      <c r="D132" s="3" t="s">
        <v>160</v>
      </c>
      <c r="E132" s="3" t="str">
        <f xml:space="preserve"> SUBSTITUTE(RIGHT(SUBSTITUTE(Network_Connections[[#This Row],[to]],"_",REPT("*",10)),10),"*","")</f>
        <v>WMS</v>
      </c>
      <c r="F132" s="3" t="str">
        <f>INDEX(Assets[Asset_ID],MATCH(Network_Connections[[#This Row],[From2]],Assets[name],0))</f>
        <v>A00011</v>
      </c>
      <c r="G132" s="3" t="s">
        <v>145</v>
      </c>
      <c r="H132" s="3" t="s">
        <v>144</v>
      </c>
      <c r="I132" s="3">
        <v>1</v>
      </c>
      <c r="J13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"A00006"-&gt;"A00011"@00:("IP", "0-65535");</v>
      </c>
      <c r="K132" s="3" t="str">
        <f>RIGHT(Network_Connections[[#This Row],[port/protocol]],LEN(Network_Connections[[#This Row],[port/protocol]])-FIND("/",Network_Connections[[#This Row],[port/protocol]]))</f>
        <v>0-65535</v>
      </c>
      <c r="L132" s="3">
        <f t="shared" si="3"/>
        <v>0</v>
      </c>
    </row>
    <row r="133" spans="1:12" x14ac:dyDescent="0.2">
      <c r="A133" s="3" t="s">
        <v>165</v>
      </c>
      <c r="B133" s="3" t="str">
        <f xml:space="preserve"> SUBSTITUTE(RIGHT(SUBSTITUTE(Network_Connections[[#This Row],[from]],"_",REPT("*",10)),10),"*","")</f>
        <v>SW1</v>
      </c>
      <c r="C133" s="3" t="str">
        <f>INDEX(Assets[Asset_ID],MATCH(Network_Connections[[#This Row],[From1]],Assets[name],0))</f>
        <v>A00006</v>
      </c>
      <c r="D133" s="3" t="s">
        <v>159</v>
      </c>
      <c r="E133" s="3" t="str">
        <f xml:space="preserve"> SUBSTITUTE(RIGHT(SUBSTITUTE(Network_Connections[[#This Row],[to]],"_",REPT("*",10)),10),"*","")</f>
        <v>CRM</v>
      </c>
      <c r="F133" s="3" t="str">
        <f>INDEX(Assets[Asset_ID],MATCH(Network_Connections[[#This Row],[From2]],Assets[name],0))</f>
        <v>A00012</v>
      </c>
      <c r="G133" s="3" t="s">
        <v>145</v>
      </c>
      <c r="H133" s="3" t="s">
        <v>144</v>
      </c>
      <c r="I133" s="3">
        <v>1</v>
      </c>
      <c r="J13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"A00006"-&gt;"A00012"@00:("IP", "0-65535");</v>
      </c>
      <c r="K133" s="3" t="str">
        <f>RIGHT(Network_Connections[[#This Row],[port/protocol]],LEN(Network_Connections[[#This Row],[port/protocol]])-FIND("/",Network_Connections[[#This Row],[port/protocol]]))</f>
        <v>0-65535</v>
      </c>
      <c r="L133" s="3">
        <f t="shared" si="3"/>
        <v>0</v>
      </c>
    </row>
    <row r="134" spans="1:12" x14ac:dyDescent="0.2">
      <c r="A134" s="3" t="s">
        <v>165</v>
      </c>
      <c r="B134" s="3" t="str">
        <f xml:space="preserve"> SUBSTITUTE(RIGHT(SUBSTITUTE(Network_Connections[[#This Row],[from]],"_",REPT("*",10)),10),"*","")</f>
        <v>SW1</v>
      </c>
      <c r="C134" s="3" t="str">
        <f>INDEX(Assets[Asset_ID],MATCH(Network_Connections[[#This Row],[From1]],Assets[name],0))</f>
        <v>A00006</v>
      </c>
      <c r="D134" s="3" t="s">
        <v>158</v>
      </c>
      <c r="E134" s="3" t="str">
        <f xml:space="preserve"> SUBSTITUTE(RIGHT(SUBSTITUTE(Network_Connections[[#This Row],[to]],"_",REPT("*",10)),10),"*","")</f>
        <v>WIFI1</v>
      </c>
      <c r="F134" s="3" t="str">
        <f>INDEX(Assets[Asset_ID],MATCH(Network_Connections[[#This Row],[From2]],Assets[name],0))</f>
        <v>A00013</v>
      </c>
      <c r="G134" s="3" t="s">
        <v>145</v>
      </c>
      <c r="H134" s="3" t="s">
        <v>144</v>
      </c>
      <c r="I134" s="3">
        <v>0</v>
      </c>
      <c r="J13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34" s="3" t="str">
        <f>RIGHT(Network_Connections[[#This Row],[port/protocol]],LEN(Network_Connections[[#This Row],[port/protocol]])-FIND("/",Network_Connections[[#This Row],[port/protocol]]))</f>
        <v>0-65535</v>
      </c>
      <c r="L134" s="3">
        <f t="shared" si="3"/>
        <v>0</v>
      </c>
    </row>
    <row r="135" spans="1:12" x14ac:dyDescent="0.2">
      <c r="A135" s="3" t="s">
        <v>165</v>
      </c>
      <c r="B135" s="3" t="str">
        <f xml:space="preserve"> SUBSTITUTE(RIGHT(SUBSTITUTE(Network_Connections[[#This Row],[from]],"_",REPT("*",10)),10),"*","")</f>
        <v>SW1</v>
      </c>
      <c r="C135" s="3" t="str">
        <f>INDEX(Assets[Asset_ID],MATCH(Network_Connections[[#This Row],[From1]],Assets[name],0))</f>
        <v>A00006</v>
      </c>
      <c r="D135" s="3" t="s">
        <v>157</v>
      </c>
      <c r="E135" s="3" t="str">
        <f xml:space="preserve"> SUBSTITUTE(RIGHT(SUBSTITUTE(Network_Connections[[#This Row],[to]],"_",REPT("*",10)),10),"*","")</f>
        <v>WS1</v>
      </c>
      <c r="F135" s="3" t="str">
        <f>INDEX(Assets[Asset_ID],MATCH(Network_Connections[[#This Row],[From2]],Assets[name],0))</f>
        <v>A00014</v>
      </c>
      <c r="G135" s="3" t="s">
        <v>145</v>
      </c>
      <c r="H135" s="3" t="s">
        <v>144</v>
      </c>
      <c r="I135" s="3">
        <v>0</v>
      </c>
      <c r="J13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35" s="3" t="str">
        <f>RIGHT(Network_Connections[[#This Row],[port/protocol]],LEN(Network_Connections[[#This Row],[port/protocol]])-FIND("/",Network_Connections[[#This Row],[port/protocol]]))</f>
        <v>0-65535</v>
      </c>
      <c r="L135" s="3">
        <f t="shared" si="3"/>
        <v>0</v>
      </c>
    </row>
    <row r="136" spans="1:12" x14ac:dyDescent="0.2">
      <c r="A136" s="3" t="s">
        <v>165</v>
      </c>
      <c r="B136" s="3" t="str">
        <f xml:space="preserve"> SUBSTITUTE(RIGHT(SUBSTITUTE(Network_Connections[[#This Row],[from]],"_",REPT("*",10)),10),"*","")</f>
        <v>SW1</v>
      </c>
      <c r="C136" s="3" t="str">
        <f>INDEX(Assets[Asset_ID],MATCH(Network_Connections[[#This Row],[From1]],Assets[name],0))</f>
        <v>A00006</v>
      </c>
      <c r="D136" s="3" t="s">
        <v>156</v>
      </c>
      <c r="E136" s="3" t="str">
        <f xml:space="preserve"> SUBSTITUTE(RIGHT(SUBSTITUTE(Network_Connections[[#This Row],[to]],"_",REPT("*",10)),10),"*","")</f>
        <v>FW3</v>
      </c>
      <c r="F136" s="3" t="str">
        <f>INDEX(Assets[Asset_ID],MATCH(Network_Connections[[#This Row],[From2]],Assets[name],0))</f>
        <v>A00015</v>
      </c>
      <c r="G136" s="3" t="s">
        <v>145</v>
      </c>
      <c r="H136" s="3" t="s">
        <v>144</v>
      </c>
      <c r="I136" s="3">
        <v>0</v>
      </c>
      <c r="J13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36" s="3" t="str">
        <f>RIGHT(Network_Connections[[#This Row],[port/protocol]],LEN(Network_Connections[[#This Row],[port/protocol]])-FIND("/",Network_Connections[[#This Row],[port/protocol]]))</f>
        <v>0-65535</v>
      </c>
      <c r="L136" s="3">
        <f t="shared" si="3"/>
        <v>0</v>
      </c>
    </row>
    <row r="137" spans="1:12" x14ac:dyDescent="0.2">
      <c r="A137" s="3" t="s">
        <v>165</v>
      </c>
      <c r="B137" s="3" t="str">
        <f xml:space="preserve"> SUBSTITUTE(RIGHT(SUBSTITUTE(Network_Connections[[#This Row],[from]],"_",REPT("*",10)),10),"*","")</f>
        <v>SW1</v>
      </c>
      <c r="C137" s="3" t="str">
        <f>INDEX(Assets[Asset_ID],MATCH(Network_Connections[[#This Row],[From1]],Assets[name],0))</f>
        <v>A00006</v>
      </c>
      <c r="D137" s="3" t="s">
        <v>155</v>
      </c>
      <c r="E137" s="3" t="str">
        <f xml:space="preserve"> SUBSTITUTE(RIGHT(SUBSTITUTE(Network_Connections[[#This Row],[to]],"_",REPT("*",10)),10),"*","")</f>
        <v>SW2</v>
      </c>
      <c r="F137" s="3" t="str">
        <f>INDEX(Assets[Asset_ID],MATCH(Network_Connections[[#This Row],[From2]],Assets[name],0))</f>
        <v>A00016</v>
      </c>
      <c r="G137" s="3" t="s">
        <v>145</v>
      </c>
      <c r="H137" s="3" t="s">
        <v>144</v>
      </c>
      <c r="I137" s="3">
        <v>0</v>
      </c>
      <c r="J13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37" s="3" t="str">
        <f>RIGHT(Network_Connections[[#This Row],[port/protocol]],LEN(Network_Connections[[#This Row],[port/protocol]])-FIND("/",Network_Connections[[#This Row],[port/protocol]]))</f>
        <v>0-65535</v>
      </c>
      <c r="L137" s="3">
        <f t="shared" si="3"/>
        <v>0</v>
      </c>
    </row>
    <row r="138" spans="1:12" x14ac:dyDescent="0.2">
      <c r="A138" s="3" t="s">
        <v>165</v>
      </c>
      <c r="B138" s="3" t="str">
        <f xml:space="preserve"> SUBSTITUTE(RIGHT(SUBSTITUTE(Network_Connections[[#This Row],[from]],"_",REPT("*",10)),10),"*","")</f>
        <v>SW1</v>
      </c>
      <c r="C138" s="3" t="str">
        <f>INDEX(Assets[Asset_ID],MATCH(Network_Connections[[#This Row],[From1]],Assets[name],0))</f>
        <v>A00006</v>
      </c>
      <c r="D138" s="3" t="s">
        <v>154</v>
      </c>
      <c r="E138" s="3" t="str">
        <f xml:space="preserve"> SUBSTITUTE(RIGHT(SUBSTITUTE(Network_Connections[[#This Row],[to]],"_",REPT("*",10)),10),"*","")</f>
        <v>WS2</v>
      </c>
      <c r="F138" s="3" t="str">
        <f>INDEX(Assets[Asset_ID],MATCH(Network_Connections[[#This Row],[From2]],Assets[name],0))</f>
        <v>A00017</v>
      </c>
      <c r="G138" s="3" t="s">
        <v>145</v>
      </c>
      <c r="H138" s="3" t="s">
        <v>144</v>
      </c>
      <c r="I138" s="3">
        <v>0</v>
      </c>
      <c r="J13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38" s="3" t="str">
        <f>RIGHT(Network_Connections[[#This Row],[port/protocol]],LEN(Network_Connections[[#This Row],[port/protocol]])-FIND("/",Network_Connections[[#This Row],[port/protocol]]))</f>
        <v>0-65535</v>
      </c>
      <c r="L138" s="3">
        <f t="shared" si="3"/>
        <v>0</v>
      </c>
    </row>
    <row r="139" spans="1:12" x14ac:dyDescent="0.2">
      <c r="A139" s="3" t="s">
        <v>165</v>
      </c>
      <c r="B139" s="3" t="str">
        <f xml:space="preserve"> SUBSTITUTE(RIGHT(SUBSTITUTE(Network_Connections[[#This Row],[from]],"_",REPT("*",10)),10),"*","")</f>
        <v>SW1</v>
      </c>
      <c r="C139" s="3" t="str">
        <f>INDEX(Assets[Asset_ID],MATCH(Network_Connections[[#This Row],[From1]],Assets[name],0))</f>
        <v>A00006</v>
      </c>
      <c r="D139" s="3" t="s">
        <v>153</v>
      </c>
      <c r="E139" s="3" t="str">
        <f xml:space="preserve"> SUBSTITUTE(RIGHT(SUBSTITUTE(Network_Connections[[#This Row],[to]],"_",REPT("*",10)),10),"*","")</f>
        <v>WS3</v>
      </c>
      <c r="F139" s="3" t="str">
        <f>INDEX(Assets[Asset_ID],MATCH(Network_Connections[[#This Row],[From2]],Assets[name],0))</f>
        <v>A00018</v>
      </c>
      <c r="G139" s="3" t="s">
        <v>145</v>
      </c>
      <c r="H139" s="3" t="s">
        <v>144</v>
      </c>
      <c r="I139" s="3">
        <v>0</v>
      </c>
      <c r="J13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39" s="3" t="str">
        <f>RIGHT(Network_Connections[[#This Row],[port/protocol]],LEN(Network_Connections[[#This Row],[port/protocol]])-FIND("/",Network_Connections[[#This Row],[port/protocol]]))</f>
        <v>0-65535</v>
      </c>
      <c r="L139" s="3">
        <f t="shared" si="3"/>
        <v>0</v>
      </c>
    </row>
    <row r="140" spans="1:12" x14ac:dyDescent="0.2">
      <c r="A140" s="3" t="s">
        <v>165</v>
      </c>
      <c r="B140" s="3" t="str">
        <f xml:space="preserve"> SUBSTITUTE(RIGHT(SUBSTITUTE(Network_Connections[[#This Row],[from]],"_",REPT("*",10)),10),"*","")</f>
        <v>SW1</v>
      </c>
      <c r="C140" s="3" t="str">
        <f>INDEX(Assets[Asset_ID],MATCH(Network_Connections[[#This Row],[From1]],Assets[name],0))</f>
        <v>A00006</v>
      </c>
      <c r="D140" s="3" t="s">
        <v>152</v>
      </c>
      <c r="E140" s="3" t="str">
        <f xml:space="preserve"> SUBSTITUTE(RIGHT(SUBSTITUTE(Network_Connections[[#This Row],[to]],"_",REPT("*",10)),10),"*","")</f>
        <v>WS4</v>
      </c>
      <c r="F140" s="3" t="str">
        <f>INDEX(Assets[Asset_ID],MATCH(Network_Connections[[#This Row],[From2]],Assets[name],0))</f>
        <v>A00019</v>
      </c>
      <c r="G140" s="3" t="s">
        <v>145</v>
      </c>
      <c r="H140" s="3" t="s">
        <v>144</v>
      </c>
      <c r="I140" s="3">
        <v>0</v>
      </c>
      <c r="J14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0" s="3" t="str">
        <f>RIGHT(Network_Connections[[#This Row],[port/protocol]],LEN(Network_Connections[[#This Row],[port/protocol]])-FIND("/",Network_Connections[[#This Row],[port/protocol]]))</f>
        <v>0-65535</v>
      </c>
      <c r="L140" s="3">
        <f t="shared" si="3"/>
        <v>0</v>
      </c>
    </row>
    <row r="141" spans="1:12" x14ac:dyDescent="0.2">
      <c r="A141" s="3" t="s">
        <v>165</v>
      </c>
      <c r="B141" s="3" t="str">
        <f xml:space="preserve"> SUBSTITUTE(RIGHT(SUBSTITUTE(Network_Connections[[#This Row],[from]],"_",REPT("*",10)),10),"*","")</f>
        <v>SW1</v>
      </c>
      <c r="C141" s="3" t="str">
        <f>INDEX(Assets[Asset_ID],MATCH(Network_Connections[[#This Row],[From1]],Assets[name],0))</f>
        <v>A00006</v>
      </c>
      <c r="D141" s="3" t="s">
        <v>151</v>
      </c>
      <c r="E141" s="3" t="str">
        <f xml:space="preserve"> SUBSTITUTE(RIGHT(SUBSTITUTE(Network_Connections[[#This Row],[to]],"_",REPT("*",10)),10),"*","")</f>
        <v>FW4</v>
      </c>
      <c r="F141" s="3" t="str">
        <f>INDEX(Assets[Asset_ID],MATCH(Network_Connections[[#This Row],[From2]],Assets[name],0))</f>
        <v>A00020</v>
      </c>
      <c r="G141" s="3" t="s">
        <v>145</v>
      </c>
      <c r="H141" s="3" t="s">
        <v>144</v>
      </c>
      <c r="I141" s="3">
        <v>0</v>
      </c>
      <c r="J14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1" s="3" t="str">
        <f>RIGHT(Network_Connections[[#This Row],[port/protocol]],LEN(Network_Connections[[#This Row],[port/protocol]])-FIND("/",Network_Connections[[#This Row],[port/protocol]]))</f>
        <v>0-65535</v>
      </c>
      <c r="L141" s="3">
        <f t="shared" si="3"/>
        <v>0</v>
      </c>
    </row>
    <row r="142" spans="1:12" x14ac:dyDescent="0.2">
      <c r="A142" s="3" t="s">
        <v>165</v>
      </c>
      <c r="B142" s="3" t="str">
        <f xml:space="preserve"> SUBSTITUTE(RIGHT(SUBSTITUTE(Network_Connections[[#This Row],[from]],"_",REPT("*",10)),10),"*","")</f>
        <v>SW1</v>
      </c>
      <c r="C142" s="3" t="str">
        <f>INDEX(Assets[Asset_ID],MATCH(Network_Connections[[#This Row],[From1]],Assets[name],0))</f>
        <v>A00006</v>
      </c>
      <c r="D142" s="3" t="s">
        <v>150</v>
      </c>
      <c r="E142" s="3" t="str">
        <f xml:space="preserve"> SUBSTITUTE(RIGHT(SUBSTITUTE(Network_Connections[[#This Row],[to]],"_",REPT("*",10)),10),"*","")</f>
        <v>WIFI2</v>
      </c>
      <c r="F142" s="3" t="str">
        <f>INDEX(Assets[Asset_ID],MATCH(Network_Connections[[#This Row],[From2]],Assets[name],0))</f>
        <v>A00021</v>
      </c>
      <c r="G142" s="3" t="s">
        <v>145</v>
      </c>
      <c r="H142" s="3" t="s">
        <v>144</v>
      </c>
      <c r="I142" s="3">
        <v>0</v>
      </c>
      <c r="J14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2" s="3" t="str">
        <f>RIGHT(Network_Connections[[#This Row],[port/protocol]],LEN(Network_Connections[[#This Row],[port/protocol]])-FIND("/",Network_Connections[[#This Row],[port/protocol]]))</f>
        <v>0-65535</v>
      </c>
      <c r="L142" s="3">
        <f t="shared" si="3"/>
        <v>0</v>
      </c>
    </row>
    <row r="143" spans="1:12" x14ac:dyDescent="0.2">
      <c r="A143" s="3" t="s">
        <v>165</v>
      </c>
      <c r="B143" s="3" t="str">
        <f xml:space="preserve"> SUBSTITUTE(RIGHT(SUBSTITUTE(Network_Connections[[#This Row],[from]],"_",REPT("*",10)),10),"*","")</f>
        <v>SW1</v>
      </c>
      <c r="C143" s="3" t="str">
        <f>INDEX(Assets[Asset_ID],MATCH(Network_Connections[[#This Row],[From1]],Assets[name],0))</f>
        <v>A00006</v>
      </c>
      <c r="D143" s="3" t="s">
        <v>149</v>
      </c>
      <c r="E143" s="3" t="str">
        <f xml:space="preserve"> SUBSTITUTE(RIGHT(SUBSTITUTE(Network_Connections[[#This Row],[to]],"_",REPT("*",10)),10),"*","")</f>
        <v>WS5</v>
      </c>
      <c r="F143" s="3" t="str">
        <f>INDEX(Assets[Asset_ID],MATCH(Network_Connections[[#This Row],[From2]],Assets[name],0))</f>
        <v>A00022</v>
      </c>
      <c r="G143" s="3" t="s">
        <v>145</v>
      </c>
      <c r="H143" s="3" t="s">
        <v>144</v>
      </c>
      <c r="I143" s="3">
        <v>0</v>
      </c>
      <c r="J14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3" s="3" t="str">
        <f>RIGHT(Network_Connections[[#This Row],[port/protocol]],LEN(Network_Connections[[#This Row],[port/protocol]])-FIND("/",Network_Connections[[#This Row],[port/protocol]]))</f>
        <v>0-65535</v>
      </c>
      <c r="L143" s="3">
        <f t="shared" si="3"/>
        <v>0</v>
      </c>
    </row>
    <row r="144" spans="1:12" x14ac:dyDescent="0.2">
      <c r="A144" s="3" t="s">
        <v>165</v>
      </c>
      <c r="B144" s="3" t="str">
        <f xml:space="preserve"> SUBSTITUTE(RIGHT(SUBSTITUTE(Network_Connections[[#This Row],[from]],"_",REPT("*",10)),10),"*","")</f>
        <v>SW1</v>
      </c>
      <c r="C144" s="3" t="str">
        <f>INDEX(Assets[Asset_ID],MATCH(Network_Connections[[#This Row],[From1]],Assets[name],0))</f>
        <v>A00006</v>
      </c>
      <c r="D144" s="3" t="s">
        <v>148</v>
      </c>
      <c r="E144" s="3" t="str">
        <f xml:space="preserve"> SUBSTITUTE(RIGHT(SUBSTITUTE(Network_Connections[[#This Row],[to]],"_",REPT("*",10)),10),"*","")</f>
        <v>WS6</v>
      </c>
      <c r="F144" s="3" t="str">
        <f>INDEX(Assets[Asset_ID],MATCH(Network_Connections[[#This Row],[From2]],Assets[name],0))</f>
        <v>A00023</v>
      </c>
      <c r="G144" s="3" t="s">
        <v>145</v>
      </c>
      <c r="H144" s="3" t="s">
        <v>144</v>
      </c>
      <c r="I144" s="3">
        <v>0</v>
      </c>
      <c r="J14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4" s="3" t="str">
        <f>RIGHT(Network_Connections[[#This Row],[port/protocol]],LEN(Network_Connections[[#This Row],[port/protocol]])-FIND("/",Network_Connections[[#This Row],[port/protocol]]))</f>
        <v>0-65535</v>
      </c>
      <c r="L144" s="3">
        <f t="shared" si="3"/>
        <v>0</v>
      </c>
    </row>
    <row r="145" spans="1:12" x14ac:dyDescent="0.2">
      <c r="A145" s="3" t="s">
        <v>165</v>
      </c>
      <c r="B145" s="3" t="str">
        <f xml:space="preserve"> SUBSTITUTE(RIGHT(SUBSTITUTE(Network_Connections[[#This Row],[from]],"_",REPT("*",10)),10),"*","")</f>
        <v>SW1</v>
      </c>
      <c r="C145" s="3" t="str">
        <f>INDEX(Assets[Asset_ID],MATCH(Network_Connections[[#This Row],[From1]],Assets[name],0))</f>
        <v>A00006</v>
      </c>
      <c r="D145" s="3" t="s">
        <v>146</v>
      </c>
      <c r="E145" s="3" t="str">
        <f xml:space="preserve"> SUBSTITUTE(RIGHT(SUBSTITUTE(Network_Connections[[#This Row],[to]],"_",REPT("*",10)),10),"*","")</f>
        <v>WS7</v>
      </c>
      <c r="F145" s="3" t="str">
        <f>INDEX(Assets[Asset_ID],MATCH(Network_Connections[[#This Row],[From2]],Assets[name],0))</f>
        <v>A00024</v>
      </c>
      <c r="G145" s="3" t="s">
        <v>145</v>
      </c>
      <c r="H145" s="3" t="s">
        <v>144</v>
      </c>
      <c r="I145" s="3">
        <v>0</v>
      </c>
      <c r="J14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5" s="3" t="str">
        <f>RIGHT(Network_Connections[[#This Row],[port/protocol]],LEN(Network_Connections[[#This Row],[port/protocol]])-FIND("/",Network_Connections[[#This Row],[port/protocol]]))</f>
        <v>0-65535</v>
      </c>
      <c r="L145" s="3">
        <f t="shared" si="3"/>
        <v>0</v>
      </c>
    </row>
    <row r="146" spans="1:12" x14ac:dyDescent="0.2">
      <c r="A146" s="3" t="s">
        <v>165</v>
      </c>
      <c r="B146" s="3" t="str">
        <f xml:space="preserve"> SUBSTITUTE(RIGHT(SUBSTITUTE(Network_Connections[[#This Row],[from]],"_",REPT("*",10)),10),"*","")</f>
        <v>SW1</v>
      </c>
      <c r="C146" s="3" t="str">
        <f>INDEX(Assets[Asset_ID],MATCH(Network_Connections[[#This Row],[From1]],Assets[name],0))</f>
        <v>A00006</v>
      </c>
      <c r="D146" s="3" t="s">
        <v>147</v>
      </c>
      <c r="E146" s="3" t="str">
        <f xml:space="preserve"> SUBSTITUTE(RIGHT(SUBSTITUTE(Network_Connections[[#This Row],[to]],"_",REPT("*",10)),10),"*","")</f>
        <v>WS8</v>
      </c>
      <c r="F146" s="3" t="str">
        <f>INDEX(Assets[Asset_ID],MATCH(Network_Connections[[#This Row],[From2]],Assets[name],0))</f>
        <v>A00025</v>
      </c>
      <c r="G146" s="3" t="s">
        <v>145</v>
      </c>
      <c r="H146" s="3" t="s">
        <v>144</v>
      </c>
      <c r="I146" s="3">
        <v>0</v>
      </c>
      <c r="J14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6" s="3" t="str">
        <f>RIGHT(Network_Connections[[#This Row],[port/protocol]],LEN(Network_Connections[[#This Row],[port/protocol]])-FIND("/",Network_Connections[[#This Row],[port/protocol]]))</f>
        <v>0-65535</v>
      </c>
      <c r="L146" s="3">
        <f t="shared" si="3"/>
        <v>0</v>
      </c>
    </row>
    <row r="147" spans="1:12" x14ac:dyDescent="0.2">
      <c r="A147" s="3" t="s">
        <v>164</v>
      </c>
      <c r="B147" s="3" t="str">
        <f xml:space="preserve"> SUBSTITUTE(RIGHT(SUBSTITUTE(Network_Connections[[#This Row],[from]],"_",REPT("*",10)),10),"*","")</f>
        <v>AD</v>
      </c>
      <c r="C147" s="3" t="str">
        <f>INDEX(Assets[Asset_ID],MATCH(Network_Connections[[#This Row],[From1]],Assets[name],0))</f>
        <v>A00007</v>
      </c>
      <c r="D147" s="3" t="s">
        <v>171</v>
      </c>
      <c r="E147" s="3" t="str">
        <f xml:space="preserve"> SUBSTITUTE(RIGHT(SUBSTITUTE(Network_Connections[[#This Row],[to]],"_",REPT("*",10)),10),"*","")</f>
        <v>FW1</v>
      </c>
      <c r="F147" s="3" t="str">
        <f>INDEX(Assets[Asset_ID],MATCH(Network_Connections[[#This Row],[From2]],Assets[name],0))</f>
        <v>A00001</v>
      </c>
      <c r="G147" s="3" t="s">
        <v>145</v>
      </c>
      <c r="H147" s="3" t="s">
        <v>144</v>
      </c>
      <c r="I147" s="3">
        <v>0</v>
      </c>
      <c r="J14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7" s="3" t="str">
        <f>RIGHT(Network_Connections[[#This Row],[port/protocol]],LEN(Network_Connections[[#This Row],[port/protocol]])-FIND("/",Network_Connections[[#This Row],[port/protocol]]))</f>
        <v>0-65535</v>
      </c>
      <c r="L147" s="3">
        <f t="shared" si="3"/>
        <v>0</v>
      </c>
    </row>
    <row r="148" spans="1:12" x14ac:dyDescent="0.2">
      <c r="A148" s="3" t="s">
        <v>164</v>
      </c>
      <c r="B148" s="3" t="str">
        <f xml:space="preserve"> SUBSTITUTE(RIGHT(SUBSTITUTE(Network_Connections[[#This Row],[from]],"_",REPT("*",10)),10),"*","")</f>
        <v>AD</v>
      </c>
      <c r="C148" s="3" t="str">
        <f>INDEX(Assets[Asset_ID],MATCH(Network_Connections[[#This Row],[From1]],Assets[name],0))</f>
        <v>A00007</v>
      </c>
      <c r="D148" s="3" t="s">
        <v>170</v>
      </c>
      <c r="E148" s="3" t="str">
        <f xml:space="preserve"> SUBSTITUTE(RIGHT(SUBSTITUTE(Network_Connections[[#This Row],[to]],"_",REPT("*",10)),10),"*","")</f>
        <v>VPNSRV</v>
      </c>
      <c r="F148" s="3" t="str">
        <f>INDEX(Assets[Asset_ID],MATCH(Network_Connections[[#This Row],[From2]],Assets[name],0))</f>
        <v>A00002</v>
      </c>
      <c r="G148" s="3" t="s">
        <v>145</v>
      </c>
      <c r="H148" s="3" t="s">
        <v>144</v>
      </c>
      <c r="I148" s="3">
        <v>0</v>
      </c>
      <c r="J14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8" s="3" t="str">
        <f>RIGHT(Network_Connections[[#This Row],[port/protocol]],LEN(Network_Connections[[#This Row],[port/protocol]])-FIND("/",Network_Connections[[#This Row],[port/protocol]]))</f>
        <v>0-65535</v>
      </c>
      <c r="L148" s="3">
        <f t="shared" si="3"/>
        <v>0</v>
      </c>
    </row>
    <row r="149" spans="1:12" x14ac:dyDescent="0.2">
      <c r="A149" s="3" t="s">
        <v>164</v>
      </c>
      <c r="B149" s="3" t="str">
        <f xml:space="preserve"> SUBSTITUTE(RIGHT(SUBSTITUTE(Network_Connections[[#This Row],[from]],"_",REPT("*",10)),10),"*","")</f>
        <v>AD</v>
      </c>
      <c r="C149" s="3" t="str">
        <f>INDEX(Assets[Asset_ID],MATCH(Network_Connections[[#This Row],[From1]],Assets[name],0))</f>
        <v>A00007</v>
      </c>
      <c r="D149" s="3" t="s">
        <v>169</v>
      </c>
      <c r="E149" s="3" t="str">
        <f xml:space="preserve"> SUBSTITUTE(RIGHT(SUBSTITUTE(Network_Connections[[#This Row],[to]],"_",REPT("*",10)),10),"*","")</f>
        <v>WebSRV1</v>
      </c>
      <c r="F149" s="3" t="str">
        <f>INDEX(Assets[Asset_ID],MATCH(Network_Connections[[#This Row],[From2]],Assets[name],0))</f>
        <v>A00003</v>
      </c>
      <c r="G149" s="3" t="s">
        <v>145</v>
      </c>
      <c r="H149" s="3" t="s">
        <v>144</v>
      </c>
      <c r="I149" s="3">
        <v>0</v>
      </c>
      <c r="J14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49" s="3" t="str">
        <f>RIGHT(Network_Connections[[#This Row],[port/protocol]],LEN(Network_Connections[[#This Row],[port/protocol]])-FIND("/",Network_Connections[[#This Row],[port/protocol]]))</f>
        <v>0-65535</v>
      </c>
      <c r="L149" s="3">
        <f t="shared" si="3"/>
        <v>0</v>
      </c>
    </row>
    <row r="150" spans="1:12" x14ac:dyDescent="0.2">
      <c r="A150" s="3" t="s">
        <v>164</v>
      </c>
      <c r="B150" s="3" t="str">
        <f xml:space="preserve"> SUBSTITUTE(RIGHT(SUBSTITUTE(Network_Connections[[#This Row],[from]],"_",REPT("*",10)),10),"*","")</f>
        <v>AD</v>
      </c>
      <c r="C150" s="3" t="str">
        <f>INDEX(Assets[Asset_ID],MATCH(Network_Connections[[#This Row],[From1]],Assets[name],0))</f>
        <v>A00007</v>
      </c>
      <c r="D150" s="3" t="s">
        <v>168</v>
      </c>
      <c r="E150" s="3" t="str">
        <f xml:space="preserve"> SUBSTITUTE(RIGHT(SUBSTITUTE(Network_Connections[[#This Row],[to]],"_",REPT("*",10)),10),"*","")</f>
        <v>WebSRV2</v>
      </c>
      <c r="F150" s="3" t="str">
        <f>INDEX(Assets[Asset_ID],MATCH(Network_Connections[[#This Row],[From2]],Assets[name],0))</f>
        <v>A00004</v>
      </c>
      <c r="G150" s="3" t="s">
        <v>145</v>
      </c>
      <c r="H150" s="3" t="s">
        <v>144</v>
      </c>
      <c r="I150" s="3">
        <v>0</v>
      </c>
      <c r="J15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50" s="3" t="str">
        <f>RIGHT(Network_Connections[[#This Row],[port/protocol]],LEN(Network_Connections[[#This Row],[port/protocol]])-FIND("/",Network_Connections[[#This Row],[port/protocol]]))</f>
        <v>0-65535</v>
      </c>
      <c r="L150" s="3">
        <f t="shared" si="3"/>
        <v>0</v>
      </c>
    </row>
    <row r="151" spans="1:12" x14ac:dyDescent="0.2">
      <c r="A151" s="3" t="s">
        <v>164</v>
      </c>
      <c r="B151" s="3" t="str">
        <f xml:space="preserve"> SUBSTITUTE(RIGHT(SUBSTITUTE(Network_Connections[[#This Row],[from]],"_",REPT("*",10)),10),"*","")</f>
        <v>AD</v>
      </c>
      <c r="C151" s="3" t="str">
        <f>INDEX(Assets[Asset_ID],MATCH(Network_Connections[[#This Row],[From1]],Assets[name],0))</f>
        <v>A00007</v>
      </c>
      <c r="D151" s="3" t="s">
        <v>166</v>
      </c>
      <c r="E151" s="3" t="str">
        <f xml:space="preserve"> SUBSTITUTE(RIGHT(SUBSTITUTE(Network_Connections[[#This Row],[to]],"_",REPT("*",10)),10),"*","")</f>
        <v>FW2</v>
      </c>
      <c r="F151" s="3" t="str">
        <f>INDEX(Assets[Asset_ID],MATCH(Network_Connections[[#This Row],[From2]],Assets[name],0))</f>
        <v>A00005</v>
      </c>
      <c r="G151" s="3" t="s">
        <v>145</v>
      </c>
      <c r="H151" s="3" t="s">
        <v>144</v>
      </c>
      <c r="I151" s="3">
        <v>0</v>
      </c>
      <c r="J15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51" s="3" t="str">
        <f>RIGHT(Network_Connections[[#This Row],[port/protocol]],LEN(Network_Connections[[#This Row],[port/protocol]])-FIND("/",Network_Connections[[#This Row],[port/protocol]]))</f>
        <v>0-65535</v>
      </c>
      <c r="L151" s="3">
        <f t="shared" si="3"/>
        <v>0</v>
      </c>
    </row>
    <row r="152" spans="1:12" x14ac:dyDescent="0.2">
      <c r="A152" s="3" t="s">
        <v>164</v>
      </c>
      <c r="B152" s="3" t="str">
        <f xml:space="preserve"> SUBSTITUTE(RIGHT(SUBSTITUTE(Network_Connections[[#This Row],[from]],"_",REPT("*",10)),10),"*","")</f>
        <v>AD</v>
      </c>
      <c r="C152" s="3" t="str">
        <f>INDEX(Assets[Asset_ID],MATCH(Network_Connections[[#This Row],[From1]],Assets[name],0))</f>
        <v>A00007</v>
      </c>
      <c r="D152" s="3" t="s">
        <v>165</v>
      </c>
      <c r="E152" s="3" t="str">
        <f xml:space="preserve"> SUBSTITUTE(RIGHT(SUBSTITUTE(Network_Connections[[#This Row],[to]],"_",REPT("*",10)),10),"*","")</f>
        <v>SW1</v>
      </c>
      <c r="F152" s="3" t="str">
        <f>INDEX(Assets[Asset_ID],MATCH(Network_Connections[[#This Row],[From2]],Assets[name],0))</f>
        <v>A00006</v>
      </c>
      <c r="G152" s="3" t="s">
        <v>145</v>
      </c>
      <c r="H152" s="3" t="s">
        <v>144</v>
      </c>
      <c r="I152" s="3">
        <v>1</v>
      </c>
      <c r="J15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"A00007"-&gt;"A00006"@00:("IP", "0-65535");</v>
      </c>
      <c r="K152" s="3" t="str">
        <f>RIGHT(Network_Connections[[#This Row],[port/protocol]],LEN(Network_Connections[[#This Row],[port/protocol]])-FIND("/",Network_Connections[[#This Row],[port/protocol]]))</f>
        <v>0-65535</v>
      </c>
      <c r="L152" s="3">
        <f t="shared" si="3"/>
        <v>0</v>
      </c>
    </row>
    <row r="153" spans="1:12" x14ac:dyDescent="0.2">
      <c r="A153" s="3" t="s">
        <v>164</v>
      </c>
      <c r="B153" s="3" t="str">
        <f xml:space="preserve"> SUBSTITUTE(RIGHT(SUBSTITUTE(Network_Connections[[#This Row],[from]],"_",REPT("*",10)),10),"*","")</f>
        <v>AD</v>
      </c>
      <c r="C153" s="3" t="str">
        <f>INDEX(Assets[Asset_ID],MATCH(Network_Connections[[#This Row],[From1]],Assets[name],0))</f>
        <v>A00007</v>
      </c>
      <c r="D153" s="3" t="s">
        <v>163</v>
      </c>
      <c r="E153" s="3" t="str">
        <f xml:space="preserve"> SUBSTITUTE(RIGHT(SUBSTITUTE(Network_Connections[[#This Row],[to]],"_",REPT("*",10)),10),"*","")</f>
        <v>ERP</v>
      </c>
      <c r="F153" s="3" t="str">
        <f>INDEX(Assets[Asset_ID],MATCH(Network_Connections[[#This Row],[From2]],Assets[name],0))</f>
        <v>A00008</v>
      </c>
      <c r="G153" s="3" t="s">
        <v>145</v>
      </c>
      <c r="H153" s="3" t="s">
        <v>144</v>
      </c>
      <c r="I153" s="3">
        <v>1</v>
      </c>
      <c r="J15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"A00007"-&gt;"A00008"@00:("IP", "0-65535");</v>
      </c>
      <c r="K153" s="3" t="str">
        <f>RIGHT(Network_Connections[[#This Row],[port/protocol]],LEN(Network_Connections[[#This Row],[port/protocol]])-FIND("/",Network_Connections[[#This Row],[port/protocol]]))</f>
        <v>0-65535</v>
      </c>
      <c r="L153" s="3">
        <f t="shared" si="3"/>
        <v>0</v>
      </c>
    </row>
    <row r="154" spans="1:12" x14ac:dyDescent="0.2">
      <c r="A154" s="3" t="s">
        <v>164</v>
      </c>
      <c r="B154" s="3" t="str">
        <f xml:space="preserve"> SUBSTITUTE(RIGHT(SUBSTITUTE(Network_Connections[[#This Row],[from]],"_",REPT("*",10)),10),"*","")</f>
        <v>AD</v>
      </c>
      <c r="C154" s="3" t="str">
        <f>INDEX(Assets[Asset_ID],MATCH(Network_Connections[[#This Row],[From1]],Assets[name],0))</f>
        <v>A00007</v>
      </c>
      <c r="D154" s="3" t="s">
        <v>162</v>
      </c>
      <c r="E154" s="3" t="str">
        <f xml:space="preserve"> SUBSTITUTE(RIGHT(SUBSTITUTE(Network_Connections[[#This Row],[to]],"_",REPT("*",10)),10),"*","")</f>
        <v>Banking</v>
      </c>
      <c r="F154" s="3" t="str">
        <f>INDEX(Assets[Asset_ID],MATCH(Network_Connections[[#This Row],[From2]],Assets[name],0))</f>
        <v>A00009</v>
      </c>
      <c r="G154" s="3" t="s">
        <v>145</v>
      </c>
      <c r="H154" s="3" t="s">
        <v>144</v>
      </c>
      <c r="I154" s="3">
        <v>0</v>
      </c>
      <c r="J15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54" s="3" t="str">
        <f>RIGHT(Network_Connections[[#This Row],[port/protocol]],LEN(Network_Connections[[#This Row],[port/protocol]])-FIND("/",Network_Connections[[#This Row],[port/protocol]]))</f>
        <v>0-65535</v>
      </c>
      <c r="L154" s="3">
        <f t="shared" si="3"/>
        <v>0</v>
      </c>
    </row>
    <row r="155" spans="1:12" x14ac:dyDescent="0.2">
      <c r="A155" s="3" t="s">
        <v>164</v>
      </c>
      <c r="B155" s="3" t="str">
        <f xml:space="preserve"> SUBSTITUTE(RIGHT(SUBSTITUTE(Network_Connections[[#This Row],[from]],"_",REPT("*",10)),10),"*","")</f>
        <v>AD</v>
      </c>
      <c r="C155" s="3" t="str">
        <f>INDEX(Assets[Asset_ID],MATCH(Network_Connections[[#This Row],[From1]],Assets[name],0))</f>
        <v>A00007</v>
      </c>
      <c r="D155" s="3" t="s">
        <v>161</v>
      </c>
      <c r="E155" s="3" t="str">
        <f xml:space="preserve"> SUBSTITUTE(RIGHT(SUBSTITUTE(Network_Connections[[#This Row],[to]],"_",REPT("*",10)),10),"*","")</f>
        <v>Email</v>
      </c>
      <c r="F155" s="3" t="str">
        <f>INDEX(Assets[Asset_ID],MATCH(Network_Connections[[#This Row],[From2]],Assets[name],0))</f>
        <v>A00010</v>
      </c>
      <c r="G155" s="3" t="s">
        <v>145</v>
      </c>
      <c r="H155" s="3" t="s">
        <v>144</v>
      </c>
      <c r="I155" s="3">
        <v>1</v>
      </c>
      <c r="J15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"A00007"-&gt;"A00010"@00:("IP", "0-65535");</v>
      </c>
      <c r="K155" s="3" t="str">
        <f>RIGHT(Network_Connections[[#This Row],[port/protocol]],LEN(Network_Connections[[#This Row],[port/protocol]])-FIND("/",Network_Connections[[#This Row],[port/protocol]]))</f>
        <v>0-65535</v>
      </c>
      <c r="L155" s="3">
        <f t="shared" si="3"/>
        <v>0</v>
      </c>
    </row>
    <row r="156" spans="1:12" x14ac:dyDescent="0.2">
      <c r="A156" s="3" t="s">
        <v>164</v>
      </c>
      <c r="B156" s="3" t="str">
        <f xml:space="preserve"> SUBSTITUTE(RIGHT(SUBSTITUTE(Network_Connections[[#This Row],[from]],"_",REPT("*",10)),10),"*","")</f>
        <v>AD</v>
      </c>
      <c r="C156" s="3" t="str">
        <f>INDEX(Assets[Asset_ID],MATCH(Network_Connections[[#This Row],[From1]],Assets[name],0))</f>
        <v>A00007</v>
      </c>
      <c r="D156" s="3" t="s">
        <v>160</v>
      </c>
      <c r="E156" s="3" t="str">
        <f xml:space="preserve"> SUBSTITUTE(RIGHT(SUBSTITUTE(Network_Connections[[#This Row],[to]],"_",REPT("*",10)),10),"*","")</f>
        <v>WMS</v>
      </c>
      <c r="F156" s="3" t="str">
        <f>INDEX(Assets[Asset_ID],MATCH(Network_Connections[[#This Row],[From2]],Assets[name],0))</f>
        <v>A00011</v>
      </c>
      <c r="G156" s="3" t="s">
        <v>145</v>
      </c>
      <c r="H156" s="3" t="s">
        <v>144</v>
      </c>
      <c r="I156" s="3">
        <v>1</v>
      </c>
      <c r="J15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"A00007"-&gt;"A00011"@00:("IP", "0-65535");</v>
      </c>
      <c r="K156" s="3" t="str">
        <f>RIGHT(Network_Connections[[#This Row],[port/protocol]],LEN(Network_Connections[[#This Row],[port/protocol]])-FIND("/",Network_Connections[[#This Row],[port/protocol]]))</f>
        <v>0-65535</v>
      </c>
      <c r="L156" s="3">
        <f t="shared" si="3"/>
        <v>0</v>
      </c>
    </row>
    <row r="157" spans="1:12" x14ac:dyDescent="0.2">
      <c r="A157" s="3" t="s">
        <v>164</v>
      </c>
      <c r="B157" s="3" t="str">
        <f xml:space="preserve"> SUBSTITUTE(RIGHT(SUBSTITUTE(Network_Connections[[#This Row],[from]],"_",REPT("*",10)),10),"*","")</f>
        <v>AD</v>
      </c>
      <c r="C157" s="3" t="str">
        <f>INDEX(Assets[Asset_ID],MATCH(Network_Connections[[#This Row],[From1]],Assets[name],0))</f>
        <v>A00007</v>
      </c>
      <c r="D157" s="3" t="s">
        <v>159</v>
      </c>
      <c r="E157" s="3" t="str">
        <f xml:space="preserve"> SUBSTITUTE(RIGHT(SUBSTITUTE(Network_Connections[[#This Row],[to]],"_",REPT("*",10)),10),"*","")</f>
        <v>CRM</v>
      </c>
      <c r="F157" s="3" t="str">
        <f>INDEX(Assets[Asset_ID],MATCH(Network_Connections[[#This Row],[From2]],Assets[name],0))</f>
        <v>A00012</v>
      </c>
      <c r="G157" s="3" t="s">
        <v>145</v>
      </c>
      <c r="H157" s="3" t="s">
        <v>144</v>
      </c>
      <c r="I157" s="3">
        <v>1</v>
      </c>
      <c r="J15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"A00007"-&gt;"A00012"@00:("IP", "0-65535");</v>
      </c>
      <c r="K157" s="3" t="str">
        <f>RIGHT(Network_Connections[[#This Row],[port/protocol]],LEN(Network_Connections[[#This Row],[port/protocol]])-FIND("/",Network_Connections[[#This Row],[port/protocol]]))</f>
        <v>0-65535</v>
      </c>
      <c r="L157" s="3">
        <f t="shared" si="3"/>
        <v>0</v>
      </c>
    </row>
    <row r="158" spans="1:12" x14ac:dyDescent="0.2">
      <c r="A158" s="3" t="s">
        <v>164</v>
      </c>
      <c r="B158" s="3" t="str">
        <f xml:space="preserve"> SUBSTITUTE(RIGHT(SUBSTITUTE(Network_Connections[[#This Row],[from]],"_",REPT("*",10)),10),"*","")</f>
        <v>AD</v>
      </c>
      <c r="C158" s="3" t="str">
        <f>INDEX(Assets[Asset_ID],MATCH(Network_Connections[[#This Row],[From1]],Assets[name],0))</f>
        <v>A00007</v>
      </c>
      <c r="D158" s="3" t="s">
        <v>158</v>
      </c>
      <c r="E158" s="3" t="str">
        <f xml:space="preserve"> SUBSTITUTE(RIGHT(SUBSTITUTE(Network_Connections[[#This Row],[to]],"_",REPT("*",10)),10),"*","")</f>
        <v>WIFI1</v>
      </c>
      <c r="F158" s="3" t="str">
        <f>INDEX(Assets[Asset_ID],MATCH(Network_Connections[[#This Row],[From2]],Assets[name],0))</f>
        <v>A00013</v>
      </c>
      <c r="G158" s="3" t="s">
        <v>145</v>
      </c>
      <c r="H158" s="3" t="s">
        <v>144</v>
      </c>
      <c r="I158" s="3">
        <v>0</v>
      </c>
      <c r="J15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58" s="3" t="str">
        <f>RIGHT(Network_Connections[[#This Row],[port/protocol]],LEN(Network_Connections[[#This Row],[port/protocol]])-FIND("/",Network_Connections[[#This Row],[port/protocol]]))</f>
        <v>0-65535</v>
      </c>
      <c r="L158" s="3">
        <f t="shared" si="3"/>
        <v>0</v>
      </c>
    </row>
    <row r="159" spans="1:12" x14ac:dyDescent="0.2">
      <c r="A159" s="3" t="s">
        <v>164</v>
      </c>
      <c r="B159" s="3" t="str">
        <f xml:space="preserve"> SUBSTITUTE(RIGHT(SUBSTITUTE(Network_Connections[[#This Row],[from]],"_",REPT("*",10)),10),"*","")</f>
        <v>AD</v>
      </c>
      <c r="C159" s="3" t="str">
        <f>INDEX(Assets[Asset_ID],MATCH(Network_Connections[[#This Row],[From1]],Assets[name],0))</f>
        <v>A00007</v>
      </c>
      <c r="D159" s="3" t="s">
        <v>157</v>
      </c>
      <c r="E159" s="3" t="str">
        <f xml:space="preserve"> SUBSTITUTE(RIGHT(SUBSTITUTE(Network_Connections[[#This Row],[to]],"_",REPT("*",10)),10),"*","")</f>
        <v>WS1</v>
      </c>
      <c r="F159" s="3" t="str">
        <f>INDEX(Assets[Asset_ID],MATCH(Network_Connections[[#This Row],[From2]],Assets[name],0))</f>
        <v>A00014</v>
      </c>
      <c r="G159" s="3" t="s">
        <v>145</v>
      </c>
      <c r="H159" s="3" t="s">
        <v>144</v>
      </c>
      <c r="I159" s="3">
        <v>1</v>
      </c>
      <c r="J15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"A00007"-&gt;"A00014"@00:("IP", "0-65535");</v>
      </c>
      <c r="K159" s="3" t="str">
        <f>RIGHT(Network_Connections[[#This Row],[port/protocol]],LEN(Network_Connections[[#This Row],[port/protocol]])-FIND("/",Network_Connections[[#This Row],[port/protocol]]))</f>
        <v>0-65535</v>
      </c>
      <c r="L159" s="3">
        <f t="shared" si="3"/>
        <v>0</v>
      </c>
    </row>
    <row r="160" spans="1:12" x14ac:dyDescent="0.2">
      <c r="A160" s="3" t="s">
        <v>164</v>
      </c>
      <c r="B160" s="3" t="str">
        <f xml:space="preserve"> SUBSTITUTE(RIGHT(SUBSTITUTE(Network_Connections[[#This Row],[from]],"_",REPT("*",10)),10),"*","")</f>
        <v>AD</v>
      </c>
      <c r="C160" s="3" t="str">
        <f>INDEX(Assets[Asset_ID],MATCH(Network_Connections[[#This Row],[From1]],Assets[name],0))</f>
        <v>A00007</v>
      </c>
      <c r="D160" s="3" t="s">
        <v>156</v>
      </c>
      <c r="E160" s="3" t="str">
        <f xml:space="preserve"> SUBSTITUTE(RIGHT(SUBSTITUTE(Network_Connections[[#This Row],[to]],"_",REPT("*",10)),10),"*","")</f>
        <v>FW3</v>
      </c>
      <c r="F160" s="3" t="str">
        <f>INDEX(Assets[Asset_ID],MATCH(Network_Connections[[#This Row],[From2]],Assets[name],0))</f>
        <v>A00015</v>
      </c>
      <c r="G160" s="3" t="s">
        <v>145</v>
      </c>
      <c r="H160" s="3" t="s">
        <v>144</v>
      </c>
      <c r="I160" s="3">
        <v>0</v>
      </c>
      <c r="J16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60" s="3" t="str">
        <f>RIGHT(Network_Connections[[#This Row],[port/protocol]],LEN(Network_Connections[[#This Row],[port/protocol]])-FIND("/",Network_Connections[[#This Row],[port/protocol]]))</f>
        <v>0-65535</v>
      </c>
      <c r="L160" s="3">
        <f t="shared" si="3"/>
        <v>0</v>
      </c>
    </row>
    <row r="161" spans="1:12" x14ac:dyDescent="0.2">
      <c r="A161" s="3" t="s">
        <v>164</v>
      </c>
      <c r="B161" s="3" t="str">
        <f xml:space="preserve"> SUBSTITUTE(RIGHT(SUBSTITUTE(Network_Connections[[#This Row],[from]],"_",REPT("*",10)),10),"*","")</f>
        <v>AD</v>
      </c>
      <c r="C161" s="3" t="str">
        <f>INDEX(Assets[Asset_ID],MATCH(Network_Connections[[#This Row],[From1]],Assets[name],0))</f>
        <v>A00007</v>
      </c>
      <c r="D161" s="3" t="s">
        <v>155</v>
      </c>
      <c r="E161" s="3" t="str">
        <f xml:space="preserve"> SUBSTITUTE(RIGHT(SUBSTITUTE(Network_Connections[[#This Row],[to]],"_",REPT("*",10)),10),"*","")</f>
        <v>SW2</v>
      </c>
      <c r="F161" s="3" t="str">
        <f>INDEX(Assets[Asset_ID],MATCH(Network_Connections[[#This Row],[From2]],Assets[name],0))</f>
        <v>A00016</v>
      </c>
      <c r="G161" s="3" t="s">
        <v>145</v>
      </c>
      <c r="H161" s="3" t="s">
        <v>144</v>
      </c>
      <c r="I161" s="3">
        <v>0</v>
      </c>
      <c r="J16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61" s="3" t="str">
        <f>RIGHT(Network_Connections[[#This Row],[port/protocol]],LEN(Network_Connections[[#This Row],[port/protocol]])-FIND("/",Network_Connections[[#This Row],[port/protocol]]))</f>
        <v>0-65535</v>
      </c>
      <c r="L161" s="3">
        <f t="shared" si="3"/>
        <v>0</v>
      </c>
    </row>
    <row r="162" spans="1:12" x14ac:dyDescent="0.2">
      <c r="A162" s="3" t="s">
        <v>164</v>
      </c>
      <c r="B162" s="3" t="str">
        <f xml:space="preserve"> SUBSTITUTE(RIGHT(SUBSTITUTE(Network_Connections[[#This Row],[from]],"_",REPT("*",10)),10),"*","")</f>
        <v>AD</v>
      </c>
      <c r="C162" s="3" t="str">
        <f>INDEX(Assets[Asset_ID],MATCH(Network_Connections[[#This Row],[From1]],Assets[name],0))</f>
        <v>A00007</v>
      </c>
      <c r="D162" s="3" t="s">
        <v>154</v>
      </c>
      <c r="E162" s="3" t="str">
        <f xml:space="preserve"> SUBSTITUTE(RIGHT(SUBSTITUTE(Network_Connections[[#This Row],[to]],"_",REPT("*",10)),10),"*","")</f>
        <v>WS2</v>
      </c>
      <c r="F162" s="3" t="str">
        <f>INDEX(Assets[Asset_ID],MATCH(Network_Connections[[#This Row],[From2]],Assets[name],0))</f>
        <v>A00017</v>
      </c>
      <c r="G162" s="3" t="s">
        <v>145</v>
      </c>
      <c r="H162" s="3" t="s">
        <v>144</v>
      </c>
      <c r="I162" s="3">
        <v>1</v>
      </c>
      <c r="J16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"A00007"-&gt;"A00017"@00:("IP", "0-65535");</v>
      </c>
      <c r="K162" s="3" t="str">
        <f>RIGHT(Network_Connections[[#This Row],[port/protocol]],LEN(Network_Connections[[#This Row],[port/protocol]])-FIND("/",Network_Connections[[#This Row],[port/protocol]]))</f>
        <v>0-65535</v>
      </c>
      <c r="L162" s="3">
        <f t="shared" si="3"/>
        <v>0</v>
      </c>
    </row>
    <row r="163" spans="1:12" x14ac:dyDescent="0.2">
      <c r="A163" s="3" t="s">
        <v>164</v>
      </c>
      <c r="B163" s="3" t="str">
        <f xml:space="preserve"> SUBSTITUTE(RIGHT(SUBSTITUTE(Network_Connections[[#This Row],[from]],"_",REPT("*",10)),10),"*","")</f>
        <v>AD</v>
      </c>
      <c r="C163" s="3" t="str">
        <f>INDEX(Assets[Asset_ID],MATCH(Network_Connections[[#This Row],[From1]],Assets[name],0))</f>
        <v>A00007</v>
      </c>
      <c r="D163" s="3" t="s">
        <v>153</v>
      </c>
      <c r="E163" s="3" t="str">
        <f xml:space="preserve"> SUBSTITUTE(RIGHT(SUBSTITUTE(Network_Connections[[#This Row],[to]],"_",REPT("*",10)),10),"*","")</f>
        <v>WS3</v>
      </c>
      <c r="F163" s="3" t="str">
        <f>INDEX(Assets[Asset_ID],MATCH(Network_Connections[[#This Row],[From2]],Assets[name],0))</f>
        <v>A00018</v>
      </c>
      <c r="G163" s="3" t="s">
        <v>145</v>
      </c>
      <c r="H163" s="3" t="s">
        <v>144</v>
      </c>
      <c r="I163" s="3">
        <v>1</v>
      </c>
      <c r="J16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"A00007"-&gt;"A00018"@00:("IP", "0-65535");</v>
      </c>
      <c r="K163" s="3" t="str">
        <f>RIGHT(Network_Connections[[#This Row],[port/protocol]],LEN(Network_Connections[[#This Row],[port/protocol]])-FIND("/",Network_Connections[[#This Row],[port/protocol]]))</f>
        <v>0-65535</v>
      </c>
      <c r="L163" s="3">
        <f t="shared" si="3"/>
        <v>0</v>
      </c>
    </row>
    <row r="164" spans="1:12" x14ac:dyDescent="0.2">
      <c r="A164" s="3" t="s">
        <v>164</v>
      </c>
      <c r="B164" s="3" t="str">
        <f xml:space="preserve"> SUBSTITUTE(RIGHT(SUBSTITUTE(Network_Connections[[#This Row],[from]],"_",REPT("*",10)),10),"*","")</f>
        <v>AD</v>
      </c>
      <c r="C164" s="3" t="str">
        <f>INDEX(Assets[Asset_ID],MATCH(Network_Connections[[#This Row],[From1]],Assets[name],0))</f>
        <v>A00007</v>
      </c>
      <c r="D164" s="3" t="s">
        <v>152</v>
      </c>
      <c r="E164" s="3" t="str">
        <f xml:space="preserve"> SUBSTITUTE(RIGHT(SUBSTITUTE(Network_Connections[[#This Row],[to]],"_",REPT("*",10)),10),"*","")</f>
        <v>WS4</v>
      </c>
      <c r="F164" s="3" t="str">
        <f>INDEX(Assets[Asset_ID],MATCH(Network_Connections[[#This Row],[From2]],Assets[name],0))</f>
        <v>A00019</v>
      </c>
      <c r="G164" s="3" t="s">
        <v>145</v>
      </c>
      <c r="H164" s="3" t="s">
        <v>144</v>
      </c>
      <c r="I164" s="3">
        <v>1</v>
      </c>
      <c r="J16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"A00007"-&gt;"A00019"@00:("IP", "0-65535");</v>
      </c>
      <c r="K164" s="3" t="str">
        <f>RIGHT(Network_Connections[[#This Row],[port/protocol]],LEN(Network_Connections[[#This Row],[port/protocol]])-FIND("/",Network_Connections[[#This Row],[port/protocol]]))</f>
        <v>0-65535</v>
      </c>
      <c r="L164" s="3">
        <f t="shared" si="3"/>
        <v>0</v>
      </c>
    </row>
    <row r="165" spans="1:12" x14ac:dyDescent="0.2">
      <c r="A165" s="3" t="s">
        <v>164</v>
      </c>
      <c r="B165" s="3" t="str">
        <f xml:space="preserve"> SUBSTITUTE(RIGHT(SUBSTITUTE(Network_Connections[[#This Row],[from]],"_",REPT("*",10)),10),"*","")</f>
        <v>AD</v>
      </c>
      <c r="C165" s="3" t="str">
        <f>INDEX(Assets[Asset_ID],MATCH(Network_Connections[[#This Row],[From1]],Assets[name],0))</f>
        <v>A00007</v>
      </c>
      <c r="D165" s="3" t="s">
        <v>151</v>
      </c>
      <c r="E165" s="3" t="str">
        <f xml:space="preserve"> SUBSTITUTE(RIGHT(SUBSTITUTE(Network_Connections[[#This Row],[to]],"_",REPT("*",10)),10),"*","")</f>
        <v>FW4</v>
      </c>
      <c r="F165" s="3" t="str">
        <f>INDEX(Assets[Asset_ID],MATCH(Network_Connections[[#This Row],[From2]],Assets[name],0))</f>
        <v>A00020</v>
      </c>
      <c r="G165" s="3" t="s">
        <v>145</v>
      </c>
      <c r="H165" s="3" t="s">
        <v>144</v>
      </c>
      <c r="I165" s="3">
        <v>0</v>
      </c>
      <c r="J16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65" s="3" t="str">
        <f>RIGHT(Network_Connections[[#This Row],[port/protocol]],LEN(Network_Connections[[#This Row],[port/protocol]])-FIND("/",Network_Connections[[#This Row],[port/protocol]]))</f>
        <v>0-65535</v>
      </c>
      <c r="L165" s="3">
        <f t="shared" si="3"/>
        <v>0</v>
      </c>
    </row>
    <row r="166" spans="1:12" x14ac:dyDescent="0.2">
      <c r="A166" s="3" t="s">
        <v>164</v>
      </c>
      <c r="B166" s="3" t="str">
        <f xml:space="preserve"> SUBSTITUTE(RIGHT(SUBSTITUTE(Network_Connections[[#This Row],[from]],"_",REPT("*",10)),10),"*","")</f>
        <v>AD</v>
      </c>
      <c r="C166" s="3" t="str">
        <f>INDEX(Assets[Asset_ID],MATCH(Network_Connections[[#This Row],[From1]],Assets[name],0))</f>
        <v>A00007</v>
      </c>
      <c r="D166" s="3" t="s">
        <v>150</v>
      </c>
      <c r="E166" s="3" t="str">
        <f xml:space="preserve"> SUBSTITUTE(RIGHT(SUBSTITUTE(Network_Connections[[#This Row],[to]],"_",REPT("*",10)),10),"*","")</f>
        <v>WIFI2</v>
      </c>
      <c r="F166" s="3" t="str">
        <f>INDEX(Assets[Asset_ID],MATCH(Network_Connections[[#This Row],[From2]],Assets[name],0))</f>
        <v>A00021</v>
      </c>
      <c r="G166" s="3" t="s">
        <v>145</v>
      </c>
      <c r="H166" s="3" t="s">
        <v>144</v>
      </c>
      <c r="I166" s="3">
        <v>0</v>
      </c>
      <c r="J16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66" s="3" t="str">
        <f>RIGHT(Network_Connections[[#This Row],[port/protocol]],LEN(Network_Connections[[#This Row],[port/protocol]])-FIND("/",Network_Connections[[#This Row],[port/protocol]]))</f>
        <v>0-65535</v>
      </c>
      <c r="L166" s="3">
        <f t="shared" si="3"/>
        <v>0</v>
      </c>
    </row>
    <row r="167" spans="1:12" x14ac:dyDescent="0.2">
      <c r="A167" s="3" t="s">
        <v>164</v>
      </c>
      <c r="B167" s="3" t="str">
        <f xml:space="preserve"> SUBSTITUTE(RIGHT(SUBSTITUTE(Network_Connections[[#This Row],[from]],"_",REPT("*",10)),10),"*","")</f>
        <v>AD</v>
      </c>
      <c r="C167" s="3" t="str">
        <f>INDEX(Assets[Asset_ID],MATCH(Network_Connections[[#This Row],[From1]],Assets[name],0))</f>
        <v>A00007</v>
      </c>
      <c r="D167" s="3" t="s">
        <v>149</v>
      </c>
      <c r="E167" s="3" t="str">
        <f xml:space="preserve"> SUBSTITUTE(RIGHT(SUBSTITUTE(Network_Connections[[#This Row],[to]],"_",REPT("*",10)),10),"*","")</f>
        <v>WS5</v>
      </c>
      <c r="F167" s="3" t="str">
        <f>INDEX(Assets[Asset_ID],MATCH(Network_Connections[[#This Row],[From2]],Assets[name],0))</f>
        <v>A00022</v>
      </c>
      <c r="G167" s="3" t="s">
        <v>145</v>
      </c>
      <c r="H167" s="3" t="s">
        <v>144</v>
      </c>
      <c r="I167" s="3">
        <v>1</v>
      </c>
      <c r="J16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"A00007"-&gt;"A00022"@00:("IP", "0-65535");</v>
      </c>
      <c r="K167" s="3" t="str">
        <f>RIGHT(Network_Connections[[#This Row],[port/protocol]],LEN(Network_Connections[[#This Row],[port/protocol]])-FIND("/",Network_Connections[[#This Row],[port/protocol]]))</f>
        <v>0-65535</v>
      </c>
      <c r="L167" s="3">
        <f t="shared" si="3"/>
        <v>0</v>
      </c>
    </row>
    <row r="168" spans="1:12" x14ac:dyDescent="0.2">
      <c r="A168" s="3" t="s">
        <v>164</v>
      </c>
      <c r="B168" s="3" t="str">
        <f xml:space="preserve"> SUBSTITUTE(RIGHT(SUBSTITUTE(Network_Connections[[#This Row],[from]],"_",REPT("*",10)),10),"*","")</f>
        <v>AD</v>
      </c>
      <c r="C168" s="3" t="str">
        <f>INDEX(Assets[Asset_ID],MATCH(Network_Connections[[#This Row],[From1]],Assets[name],0))</f>
        <v>A00007</v>
      </c>
      <c r="D168" s="3" t="s">
        <v>148</v>
      </c>
      <c r="E168" s="3" t="str">
        <f xml:space="preserve"> SUBSTITUTE(RIGHT(SUBSTITUTE(Network_Connections[[#This Row],[to]],"_",REPT("*",10)),10),"*","")</f>
        <v>WS6</v>
      </c>
      <c r="F168" s="3" t="str">
        <f>INDEX(Assets[Asset_ID],MATCH(Network_Connections[[#This Row],[From2]],Assets[name],0))</f>
        <v>A00023</v>
      </c>
      <c r="G168" s="3" t="s">
        <v>145</v>
      </c>
      <c r="H168" s="3" t="s">
        <v>144</v>
      </c>
      <c r="I168" s="3">
        <v>0</v>
      </c>
      <c r="J16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68" s="3" t="str">
        <f>RIGHT(Network_Connections[[#This Row],[port/protocol]],LEN(Network_Connections[[#This Row],[port/protocol]])-FIND("/",Network_Connections[[#This Row],[port/protocol]]))</f>
        <v>0-65535</v>
      </c>
      <c r="L168" s="3">
        <f t="shared" si="3"/>
        <v>0</v>
      </c>
    </row>
    <row r="169" spans="1:12" x14ac:dyDescent="0.2">
      <c r="A169" s="3" t="s">
        <v>164</v>
      </c>
      <c r="B169" s="3" t="str">
        <f xml:space="preserve"> SUBSTITUTE(RIGHT(SUBSTITUTE(Network_Connections[[#This Row],[from]],"_",REPT("*",10)),10),"*","")</f>
        <v>AD</v>
      </c>
      <c r="C169" s="3" t="str">
        <f>INDEX(Assets[Asset_ID],MATCH(Network_Connections[[#This Row],[From1]],Assets[name],0))</f>
        <v>A00007</v>
      </c>
      <c r="D169" s="3" t="s">
        <v>146</v>
      </c>
      <c r="E169" s="3" t="str">
        <f xml:space="preserve"> SUBSTITUTE(RIGHT(SUBSTITUTE(Network_Connections[[#This Row],[to]],"_",REPT("*",10)),10),"*","")</f>
        <v>WS7</v>
      </c>
      <c r="F169" s="3" t="str">
        <f>INDEX(Assets[Asset_ID],MATCH(Network_Connections[[#This Row],[From2]],Assets[name],0))</f>
        <v>A00024</v>
      </c>
      <c r="G169" s="3" t="s">
        <v>145</v>
      </c>
      <c r="H169" s="3" t="s">
        <v>144</v>
      </c>
      <c r="I169" s="3">
        <v>0</v>
      </c>
      <c r="J16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69" s="3" t="str">
        <f>RIGHT(Network_Connections[[#This Row],[port/protocol]],LEN(Network_Connections[[#This Row],[port/protocol]])-FIND("/",Network_Connections[[#This Row],[port/protocol]]))</f>
        <v>0-65535</v>
      </c>
      <c r="L169" s="3">
        <f t="shared" si="3"/>
        <v>0</v>
      </c>
    </row>
    <row r="170" spans="1:12" x14ac:dyDescent="0.2">
      <c r="A170" s="3" t="s">
        <v>164</v>
      </c>
      <c r="B170" s="3" t="str">
        <f xml:space="preserve"> SUBSTITUTE(RIGHT(SUBSTITUTE(Network_Connections[[#This Row],[from]],"_",REPT("*",10)),10),"*","")</f>
        <v>AD</v>
      </c>
      <c r="C170" s="3" t="str">
        <f>INDEX(Assets[Asset_ID],MATCH(Network_Connections[[#This Row],[From1]],Assets[name],0))</f>
        <v>A00007</v>
      </c>
      <c r="D170" s="3" t="s">
        <v>147</v>
      </c>
      <c r="E170" s="3" t="str">
        <f xml:space="preserve"> SUBSTITUTE(RIGHT(SUBSTITUTE(Network_Connections[[#This Row],[to]],"_",REPT("*",10)),10),"*","")</f>
        <v>WS8</v>
      </c>
      <c r="F170" s="3" t="str">
        <f>INDEX(Assets[Asset_ID],MATCH(Network_Connections[[#This Row],[From2]],Assets[name],0))</f>
        <v>A00025</v>
      </c>
      <c r="G170" s="3" t="s">
        <v>145</v>
      </c>
      <c r="H170" s="3" t="s">
        <v>144</v>
      </c>
      <c r="I170" s="3">
        <v>0</v>
      </c>
      <c r="J17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70" s="3" t="str">
        <f>RIGHT(Network_Connections[[#This Row],[port/protocol]],LEN(Network_Connections[[#This Row],[port/protocol]])-FIND("/",Network_Connections[[#This Row],[port/protocol]]))</f>
        <v>0-65535</v>
      </c>
      <c r="L170" s="3">
        <f t="shared" si="3"/>
        <v>0</v>
      </c>
    </row>
    <row r="171" spans="1:12" x14ac:dyDescent="0.2">
      <c r="A171" s="3" t="s">
        <v>163</v>
      </c>
      <c r="B171" s="3" t="str">
        <f xml:space="preserve"> SUBSTITUTE(RIGHT(SUBSTITUTE(Network_Connections[[#This Row],[from]],"_",REPT("*",10)),10),"*","")</f>
        <v>ERP</v>
      </c>
      <c r="C171" s="3" t="str">
        <f>INDEX(Assets[Asset_ID],MATCH(Network_Connections[[#This Row],[From1]],Assets[name],0))</f>
        <v>A00008</v>
      </c>
      <c r="D171" s="3" t="s">
        <v>171</v>
      </c>
      <c r="E171" s="3" t="str">
        <f xml:space="preserve"> SUBSTITUTE(RIGHT(SUBSTITUTE(Network_Connections[[#This Row],[to]],"_",REPT("*",10)),10),"*","")</f>
        <v>FW1</v>
      </c>
      <c r="F171" s="3" t="str">
        <f>INDEX(Assets[Asset_ID],MATCH(Network_Connections[[#This Row],[From2]],Assets[name],0))</f>
        <v>A00001</v>
      </c>
      <c r="G171" s="3" t="s">
        <v>145</v>
      </c>
      <c r="H171" s="3" t="s">
        <v>144</v>
      </c>
      <c r="I171" s="3">
        <v>0</v>
      </c>
      <c r="J17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71" s="3" t="str">
        <f>RIGHT(Network_Connections[[#This Row],[port/protocol]],LEN(Network_Connections[[#This Row],[port/protocol]])-FIND("/",Network_Connections[[#This Row],[port/protocol]]))</f>
        <v>0-65535</v>
      </c>
      <c r="L171" s="3">
        <f t="shared" si="3"/>
        <v>0</v>
      </c>
    </row>
    <row r="172" spans="1:12" x14ac:dyDescent="0.2">
      <c r="A172" s="3" t="s">
        <v>163</v>
      </c>
      <c r="B172" s="3" t="str">
        <f xml:space="preserve"> SUBSTITUTE(RIGHT(SUBSTITUTE(Network_Connections[[#This Row],[from]],"_",REPT("*",10)),10),"*","")</f>
        <v>ERP</v>
      </c>
      <c r="C172" s="3" t="str">
        <f>INDEX(Assets[Asset_ID],MATCH(Network_Connections[[#This Row],[From1]],Assets[name],0))</f>
        <v>A00008</v>
      </c>
      <c r="D172" s="3" t="s">
        <v>170</v>
      </c>
      <c r="E172" s="3" t="str">
        <f xml:space="preserve"> SUBSTITUTE(RIGHT(SUBSTITUTE(Network_Connections[[#This Row],[to]],"_",REPT("*",10)),10),"*","")</f>
        <v>VPNSRV</v>
      </c>
      <c r="F172" s="3" t="str">
        <f>INDEX(Assets[Asset_ID],MATCH(Network_Connections[[#This Row],[From2]],Assets[name],0))</f>
        <v>A00002</v>
      </c>
      <c r="G172" s="3" t="s">
        <v>145</v>
      </c>
      <c r="H172" s="3" t="s">
        <v>144</v>
      </c>
      <c r="I172" s="3">
        <v>0</v>
      </c>
      <c r="J17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72" s="3" t="str">
        <f>RIGHT(Network_Connections[[#This Row],[port/protocol]],LEN(Network_Connections[[#This Row],[port/protocol]])-FIND("/",Network_Connections[[#This Row],[port/protocol]]))</f>
        <v>0-65535</v>
      </c>
      <c r="L172" s="3">
        <f t="shared" si="3"/>
        <v>0</v>
      </c>
    </row>
    <row r="173" spans="1:12" x14ac:dyDescent="0.2">
      <c r="A173" s="3" t="s">
        <v>163</v>
      </c>
      <c r="B173" s="3" t="str">
        <f xml:space="preserve"> SUBSTITUTE(RIGHT(SUBSTITUTE(Network_Connections[[#This Row],[from]],"_",REPT("*",10)),10),"*","")</f>
        <v>ERP</v>
      </c>
      <c r="C173" s="3" t="str">
        <f>INDEX(Assets[Asset_ID],MATCH(Network_Connections[[#This Row],[From1]],Assets[name],0))</f>
        <v>A00008</v>
      </c>
      <c r="D173" s="3" t="s">
        <v>169</v>
      </c>
      <c r="E173" s="3" t="str">
        <f xml:space="preserve"> SUBSTITUTE(RIGHT(SUBSTITUTE(Network_Connections[[#This Row],[to]],"_",REPT("*",10)),10),"*","")</f>
        <v>WebSRV1</v>
      </c>
      <c r="F173" s="3" t="str">
        <f>INDEX(Assets[Asset_ID],MATCH(Network_Connections[[#This Row],[From2]],Assets[name],0))</f>
        <v>A00003</v>
      </c>
      <c r="G173" s="3" t="s">
        <v>145</v>
      </c>
      <c r="H173" s="3" t="s">
        <v>144</v>
      </c>
      <c r="I173" s="3">
        <v>0</v>
      </c>
      <c r="J17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73" s="3" t="str">
        <f>RIGHT(Network_Connections[[#This Row],[port/protocol]],LEN(Network_Connections[[#This Row],[port/protocol]])-FIND("/",Network_Connections[[#This Row],[port/protocol]]))</f>
        <v>0-65535</v>
      </c>
      <c r="L173" s="3">
        <f t="shared" si="3"/>
        <v>0</v>
      </c>
    </row>
    <row r="174" spans="1:12" x14ac:dyDescent="0.2">
      <c r="A174" s="3" t="s">
        <v>163</v>
      </c>
      <c r="B174" s="3" t="str">
        <f xml:space="preserve"> SUBSTITUTE(RIGHT(SUBSTITUTE(Network_Connections[[#This Row],[from]],"_",REPT("*",10)),10),"*","")</f>
        <v>ERP</v>
      </c>
      <c r="C174" s="3" t="str">
        <f>INDEX(Assets[Asset_ID],MATCH(Network_Connections[[#This Row],[From1]],Assets[name],0))</f>
        <v>A00008</v>
      </c>
      <c r="D174" s="3" t="s">
        <v>168</v>
      </c>
      <c r="E174" s="3" t="str">
        <f xml:space="preserve"> SUBSTITUTE(RIGHT(SUBSTITUTE(Network_Connections[[#This Row],[to]],"_",REPT("*",10)),10),"*","")</f>
        <v>WebSRV2</v>
      </c>
      <c r="F174" s="3" t="str">
        <f>INDEX(Assets[Asset_ID],MATCH(Network_Connections[[#This Row],[From2]],Assets[name],0))</f>
        <v>A00004</v>
      </c>
      <c r="G174" s="3" t="s">
        <v>145</v>
      </c>
      <c r="H174" s="3" t="s">
        <v>144</v>
      </c>
      <c r="I174" s="3">
        <v>0</v>
      </c>
      <c r="J17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74" s="3" t="str">
        <f>RIGHT(Network_Connections[[#This Row],[port/protocol]],LEN(Network_Connections[[#This Row],[port/protocol]])-FIND("/",Network_Connections[[#This Row],[port/protocol]]))</f>
        <v>0-65535</v>
      </c>
      <c r="L174" s="3">
        <f t="shared" si="3"/>
        <v>0</v>
      </c>
    </row>
    <row r="175" spans="1:12" x14ac:dyDescent="0.2">
      <c r="A175" s="3" t="s">
        <v>163</v>
      </c>
      <c r="B175" s="3" t="str">
        <f xml:space="preserve"> SUBSTITUTE(RIGHT(SUBSTITUTE(Network_Connections[[#This Row],[from]],"_",REPT("*",10)),10),"*","")</f>
        <v>ERP</v>
      </c>
      <c r="C175" s="3" t="str">
        <f>INDEX(Assets[Asset_ID],MATCH(Network_Connections[[#This Row],[From1]],Assets[name],0))</f>
        <v>A00008</v>
      </c>
      <c r="D175" s="3" t="s">
        <v>166</v>
      </c>
      <c r="E175" s="3" t="str">
        <f xml:space="preserve"> SUBSTITUTE(RIGHT(SUBSTITUTE(Network_Connections[[#This Row],[to]],"_",REPT("*",10)),10),"*","")</f>
        <v>FW2</v>
      </c>
      <c r="F175" s="3" t="str">
        <f>INDEX(Assets[Asset_ID],MATCH(Network_Connections[[#This Row],[From2]],Assets[name],0))</f>
        <v>A00005</v>
      </c>
      <c r="G175" s="3" t="s">
        <v>145</v>
      </c>
      <c r="H175" s="3" t="s">
        <v>144</v>
      </c>
      <c r="I175" s="3">
        <v>0</v>
      </c>
      <c r="J17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75" s="3" t="str">
        <f>RIGHT(Network_Connections[[#This Row],[port/protocol]],LEN(Network_Connections[[#This Row],[port/protocol]])-FIND("/",Network_Connections[[#This Row],[port/protocol]]))</f>
        <v>0-65535</v>
      </c>
      <c r="L175" s="3">
        <f t="shared" si="3"/>
        <v>0</v>
      </c>
    </row>
    <row r="176" spans="1:12" x14ac:dyDescent="0.2">
      <c r="A176" s="3" t="s">
        <v>163</v>
      </c>
      <c r="B176" s="3" t="str">
        <f xml:space="preserve"> SUBSTITUTE(RIGHT(SUBSTITUTE(Network_Connections[[#This Row],[from]],"_",REPT("*",10)),10),"*","")</f>
        <v>ERP</v>
      </c>
      <c r="C176" s="3" t="str">
        <f>INDEX(Assets[Asset_ID],MATCH(Network_Connections[[#This Row],[From1]],Assets[name],0))</f>
        <v>A00008</v>
      </c>
      <c r="D176" s="3" t="s">
        <v>165</v>
      </c>
      <c r="E176" s="3" t="str">
        <f xml:space="preserve"> SUBSTITUTE(RIGHT(SUBSTITUTE(Network_Connections[[#This Row],[to]],"_",REPT("*",10)),10),"*","")</f>
        <v>SW1</v>
      </c>
      <c r="F176" s="3" t="str">
        <f>INDEX(Assets[Asset_ID],MATCH(Network_Connections[[#This Row],[From2]],Assets[name],0))</f>
        <v>A00006</v>
      </c>
      <c r="G176" s="3" t="s">
        <v>145</v>
      </c>
      <c r="H176" s="3" t="s">
        <v>144</v>
      </c>
      <c r="I176" s="3">
        <v>1</v>
      </c>
      <c r="J17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"A00008"-&gt;"A00006"@00:("IP", "0-65535");</v>
      </c>
      <c r="K176" s="3" t="str">
        <f>RIGHT(Network_Connections[[#This Row],[port/protocol]],LEN(Network_Connections[[#This Row],[port/protocol]])-FIND("/",Network_Connections[[#This Row],[port/protocol]]))</f>
        <v>0-65535</v>
      </c>
      <c r="L176" s="3">
        <f t="shared" si="3"/>
        <v>0</v>
      </c>
    </row>
    <row r="177" spans="1:12" x14ac:dyDescent="0.2">
      <c r="A177" s="3" t="s">
        <v>163</v>
      </c>
      <c r="B177" s="3" t="str">
        <f xml:space="preserve"> SUBSTITUTE(RIGHT(SUBSTITUTE(Network_Connections[[#This Row],[from]],"_",REPT("*",10)),10),"*","")</f>
        <v>ERP</v>
      </c>
      <c r="C177" s="3" t="str">
        <f>INDEX(Assets[Asset_ID],MATCH(Network_Connections[[#This Row],[From1]],Assets[name],0))</f>
        <v>A00008</v>
      </c>
      <c r="D177" s="3" t="s">
        <v>164</v>
      </c>
      <c r="E177" s="3" t="str">
        <f xml:space="preserve"> SUBSTITUTE(RIGHT(SUBSTITUTE(Network_Connections[[#This Row],[to]],"_",REPT("*",10)),10),"*","")</f>
        <v>AD</v>
      </c>
      <c r="F177" s="3" t="str">
        <f>INDEX(Assets[Asset_ID],MATCH(Network_Connections[[#This Row],[From2]],Assets[name],0))</f>
        <v>A00007</v>
      </c>
      <c r="G177" s="3" t="s">
        <v>145</v>
      </c>
      <c r="H177" s="3" t="s">
        <v>144</v>
      </c>
      <c r="I177" s="3">
        <v>1</v>
      </c>
      <c r="J17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"A00008"-&gt;"A00007"@00:("IP", "0-65535");</v>
      </c>
      <c r="K177" s="3" t="str">
        <f>RIGHT(Network_Connections[[#This Row],[port/protocol]],LEN(Network_Connections[[#This Row],[port/protocol]])-FIND("/",Network_Connections[[#This Row],[port/protocol]]))</f>
        <v>0-65535</v>
      </c>
      <c r="L177" s="3">
        <f t="shared" si="3"/>
        <v>0</v>
      </c>
    </row>
    <row r="178" spans="1:12" x14ac:dyDescent="0.2">
      <c r="A178" s="3" t="s">
        <v>163</v>
      </c>
      <c r="B178" s="3" t="str">
        <f xml:space="preserve"> SUBSTITUTE(RIGHT(SUBSTITUTE(Network_Connections[[#This Row],[from]],"_",REPT("*",10)),10),"*","")</f>
        <v>ERP</v>
      </c>
      <c r="C178" s="3" t="str">
        <f>INDEX(Assets[Asset_ID],MATCH(Network_Connections[[#This Row],[From1]],Assets[name],0))</f>
        <v>A00008</v>
      </c>
      <c r="D178" s="3" t="s">
        <v>162</v>
      </c>
      <c r="E178" s="3" t="str">
        <f xml:space="preserve"> SUBSTITUTE(RIGHT(SUBSTITUTE(Network_Connections[[#This Row],[to]],"_",REPT("*",10)),10),"*","")</f>
        <v>Banking</v>
      </c>
      <c r="F178" s="3" t="str">
        <f>INDEX(Assets[Asset_ID],MATCH(Network_Connections[[#This Row],[From2]],Assets[name],0))</f>
        <v>A00009</v>
      </c>
      <c r="G178" s="3" t="s">
        <v>145</v>
      </c>
      <c r="H178" s="3" t="s">
        <v>144</v>
      </c>
      <c r="I178" s="3">
        <v>0</v>
      </c>
      <c r="J17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78" s="3" t="str">
        <f>RIGHT(Network_Connections[[#This Row],[port/protocol]],LEN(Network_Connections[[#This Row],[port/protocol]])-FIND("/",Network_Connections[[#This Row],[port/protocol]]))</f>
        <v>0-65535</v>
      </c>
      <c r="L178" s="3">
        <f t="shared" si="3"/>
        <v>0</v>
      </c>
    </row>
    <row r="179" spans="1:12" x14ac:dyDescent="0.2">
      <c r="A179" s="3" t="s">
        <v>163</v>
      </c>
      <c r="B179" s="3" t="str">
        <f xml:space="preserve"> SUBSTITUTE(RIGHT(SUBSTITUTE(Network_Connections[[#This Row],[from]],"_",REPT("*",10)),10),"*","")</f>
        <v>ERP</v>
      </c>
      <c r="C179" s="3" t="str">
        <f>INDEX(Assets[Asset_ID],MATCH(Network_Connections[[#This Row],[From1]],Assets[name],0))</f>
        <v>A00008</v>
      </c>
      <c r="D179" s="3" t="s">
        <v>161</v>
      </c>
      <c r="E179" s="3" t="str">
        <f xml:space="preserve"> SUBSTITUTE(RIGHT(SUBSTITUTE(Network_Connections[[#This Row],[to]],"_",REPT("*",10)),10),"*","")</f>
        <v>Email</v>
      </c>
      <c r="F179" s="3" t="str">
        <f>INDEX(Assets[Asset_ID],MATCH(Network_Connections[[#This Row],[From2]],Assets[name],0))</f>
        <v>A00010</v>
      </c>
      <c r="G179" s="3" t="s">
        <v>145</v>
      </c>
      <c r="H179" s="3" t="s">
        <v>144</v>
      </c>
      <c r="I179" s="3">
        <v>1</v>
      </c>
      <c r="J17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"A00008"-&gt;"A00010"@00:("IP", "0-65535");</v>
      </c>
      <c r="K179" s="3" t="str">
        <f>RIGHT(Network_Connections[[#This Row],[port/protocol]],LEN(Network_Connections[[#This Row],[port/protocol]])-FIND("/",Network_Connections[[#This Row],[port/protocol]]))</f>
        <v>0-65535</v>
      </c>
      <c r="L179" s="3">
        <f t="shared" si="3"/>
        <v>0</v>
      </c>
    </row>
    <row r="180" spans="1:12" x14ac:dyDescent="0.2">
      <c r="A180" s="3" t="s">
        <v>163</v>
      </c>
      <c r="B180" s="3" t="str">
        <f xml:space="preserve"> SUBSTITUTE(RIGHT(SUBSTITUTE(Network_Connections[[#This Row],[from]],"_",REPT("*",10)),10),"*","")</f>
        <v>ERP</v>
      </c>
      <c r="C180" s="3" t="str">
        <f>INDEX(Assets[Asset_ID],MATCH(Network_Connections[[#This Row],[From1]],Assets[name],0))</f>
        <v>A00008</v>
      </c>
      <c r="D180" s="3" t="s">
        <v>160</v>
      </c>
      <c r="E180" s="3" t="str">
        <f xml:space="preserve"> SUBSTITUTE(RIGHT(SUBSTITUTE(Network_Connections[[#This Row],[to]],"_",REPT("*",10)),10),"*","")</f>
        <v>WMS</v>
      </c>
      <c r="F180" s="3" t="str">
        <f>INDEX(Assets[Asset_ID],MATCH(Network_Connections[[#This Row],[From2]],Assets[name],0))</f>
        <v>A00011</v>
      </c>
      <c r="G180" s="3" t="s">
        <v>145</v>
      </c>
      <c r="H180" s="3" t="s">
        <v>144</v>
      </c>
      <c r="I180" s="3">
        <v>1</v>
      </c>
      <c r="J18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"A00008"-&gt;"A00011"@00:("IP", "0-65535");</v>
      </c>
      <c r="K180" s="3" t="str">
        <f>RIGHT(Network_Connections[[#This Row],[port/protocol]],LEN(Network_Connections[[#This Row],[port/protocol]])-FIND("/",Network_Connections[[#This Row],[port/protocol]]))</f>
        <v>0-65535</v>
      </c>
      <c r="L180" s="3">
        <f t="shared" si="3"/>
        <v>0</v>
      </c>
    </row>
    <row r="181" spans="1:12" x14ac:dyDescent="0.2">
      <c r="A181" s="3" t="s">
        <v>163</v>
      </c>
      <c r="B181" s="3" t="str">
        <f xml:space="preserve"> SUBSTITUTE(RIGHT(SUBSTITUTE(Network_Connections[[#This Row],[from]],"_",REPT("*",10)),10),"*","")</f>
        <v>ERP</v>
      </c>
      <c r="C181" s="3" t="str">
        <f>INDEX(Assets[Asset_ID],MATCH(Network_Connections[[#This Row],[From1]],Assets[name],0))</f>
        <v>A00008</v>
      </c>
      <c r="D181" s="3" t="s">
        <v>159</v>
      </c>
      <c r="E181" s="3" t="str">
        <f xml:space="preserve"> SUBSTITUTE(RIGHT(SUBSTITUTE(Network_Connections[[#This Row],[to]],"_",REPT("*",10)),10),"*","")</f>
        <v>CRM</v>
      </c>
      <c r="F181" s="3" t="str">
        <f>INDEX(Assets[Asset_ID],MATCH(Network_Connections[[#This Row],[From2]],Assets[name],0))</f>
        <v>A00012</v>
      </c>
      <c r="G181" s="3" t="s">
        <v>145</v>
      </c>
      <c r="H181" s="3" t="s">
        <v>144</v>
      </c>
      <c r="I181" s="3">
        <v>1</v>
      </c>
      <c r="J18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"A00008"-&gt;"A00012"@00:("IP", "0-65535");</v>
      </c>
      <c r="K181" s="3" t="str">
        <f>RIGHT(Network_Connections[[#This Row],[port/protocol]],LEN(Network_Connections[[#This Row],[port/protocol]])-FIND("/",Network_Connections[[#This Row],[port/protocol]]))</f>
        <v>0-65535</v>
      </c>
      <c r="L181" s="3">
        <f t="shared" si="3"/>
        <v>0</v>
      </c>
    </row>
    <row r="182" spans="1:12" x14ac:dyDescent="0.2">
      <c r="A182" s="3" t="s">
        <v>163</v>
      </c>
      <c r="B182" s="3" t="str">
        <f xml:space="preserve"> SUBSTITUTE(RIGHT(SUBSTITUTE(Network_Connections[[#This Row],[from]],"_",REPT("*",10)),10),"*","")</f>
        <v>ERP</v>
      </c>
      <c r="C182" s="3" t="str">
        <f>INDEX(Assets[Asset_ID],MATCH(Network_Connections[[#This Row],[From1]],Assets[name],0))</f>
        <v>A00008</v>
      </c>
      <c r="D182" s="3" t="s">
        <v>158</v>
      </c>
      <c r="E182" s="3" t="str">
        <f xml:space="preserve"> SUBSTITUTE(RIGHT(SUBSTITUTE(Network_Connections[[#This Row],[to]],"_",REPT("*",10)),10),"*","")</f>
        <v>WIFI1</v>
      </c>
      <c r="F182" s="3" t="str">
        <f>INDEX(Assets[Asset_ID],MATCH(Network_Connections[[#This Row],[From2]],Assets[name],0))</f>
        <v>A00013</v>
      </c>
      <c r="G182" s="3" t="s">
        <v>145</v>
      </c>
      <c r="H182" s="3" t="s">
        <v>144</v>
      </c>
      <c r="I182" s="3">
        <v>0</v>
      </c>
      <c r="J18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2" s="3" t="str">
        <f>RIGHT(Network_Connections[[#This Row],[port/protocol]],LEN(Network_Connections[[#This Row],[port/protocol]])-FIND("/",Network_Connections[[#This Row],[port/protocol]]))</f>
        <v>0-65535</v>
      </c>
      <c r="L182" s="3">
        <f t="shared" si="3"/>
        <v>0</v>
      </c>
    </row>
    <row r="183" spans="1:12" x14ac:dyDescent="0.2">
      <c r="A183" s="3" t="s">
        <v>163</v>
      </c>
      <c r="B183" s="3" t="str">
        <f xml:space="preserve"> SUBSTITUTE(RIGHT(SUBSTITUTE(Network_Connections[[#This Row],[from]],"_",REPT("*",10)),10),"*","")</f>
        <v>ERP</v>
      </c>
      <c r="C183" s="3" t="str">
        <f>INDEX(Assets[Asset_ID],MATCH(Network_Connections[[#This Row],[From1]],Assets[name],0))</f>
        <v>A00008</v>
      </c>
      <c r="D183" s="3" t="s">
        <v>157</v>
      </c>
      <c r="E183" s="3" t="str">
        <f xml:space="preserve"> SUBSTITUTE(RIGHT(SUBSTITUTE(Network_Connections[[#This Row],[to]],"_",REPT("*",10)),10),"*","")</f>
        <v>WS1</v>
      </c>
      <c r="F183" s="3" t="str">
        <f>INDEX(Assets[Asset_ID],MATCH(Network_Connections[[#This Row],[From2]],Assets[name],0))</f>
        <v>A00014</v>
      </c>
      <c r="G183" s="3" t="s">
        <v>145</v>
      </c>
      <c r="H183" s="3" t="s">
        <v>144</v>
      </c>
      <c r="I183" s="3">
        <v>0</v>
      </c>
      <c r="J18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3" s="3" t="str">
        <f>RIGHT(Network_Connections[[#This Row],[port/protocol]],LEN(Network_Connections[[#This Row],[port/protocol]])-FIND("/",Network_Connections[[#This Row],[port/protocol]]))</f>
        <v>0-65535</v>
      </c>
      <c r="L183" s="3">
        <f t="shared" si="3"/>
        <v>0</v>
      </c>
    </row>
    <row r="184" spans="1:12" x14ac:dyDescent="0.2">
      <c r="A184" s="3" t="s">
        <v>163</v>
      </c>
      <c r="B184" s="3" t="str">
        <f xml:space="preserve"> SUBSTITUTE(RIGHT(SUBSTITUTE(Network_Connections[[#This Row],[from]],"_",REPT("*",10)),10),"*","")</f>
        <v>ERP</v>
      </c>
      <c r="C184" s="3" t="str">
        <f>INDEX(Assets[Asset_ID],MATCH(Network_Connections[[#This Row],[From1]],Assets[name],0))</f>
        <v>A00008</v>
      </c>
      <c r="D184" s="3" t="s">
        <v>156</v>
      </c>
      <c r="E184" s="3" t="str">
        <f xml:space="preserve"> SUBSTITUTE(RIGHT(SUBSTITUTE(Network_Connections[[#This Row],[to]],"_",REPT("*",10)),10),"*","")</f>
        <v>FW3</v>
      </c>
      <c r="F184" s="3" t="str">
        <f>INDEX(Assets[Asset_ID],MATCH(Network_Connections[[#This Row],[From2]],Assets[name],0))</f>
        <v>A00015</v>
      </c>
      <c r="G184" s="3" t="s">
        <v>145</v>
      </c>
      <c r="H184" s="3" t="s">
        <v>144</v>
      </c>
      <c r="I184" s="3">
        <v>0</v>
      </c>
      <c r="J18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4" s="3" t="str">
        <f>RIGHT(Network_Connections[[#This Row],[port/protocol]],LEN(Network_Connections[[#This Row],[port/protocol]])-FIND("/",Network_Connections[[#This Row],[port/protocol]]))</f>
        <v>0-65535</v>
      </c>
      <c r="L184" s="3">
        <f t="shared" si="3"/>
        <v>0</v>
      </c>
    </row>
    <row r="185" spans="1:12" x14ac:dyDescent="0.2">
      <c r="A185" s="3" t="s">
        <v>163</v>
      </c>
      <c r="B185" s="3" t="str">
        <f xml:space="preserve"> SUBSTITUTE(RIGHT(SUBSTITUTE(Network_Connections[[#This Row],[from]],"_",REPT("*",10)),10),"*","")</f>
        <v>ERP</v>
      </c>
      <c r="C185" s="3" t="str">
        <f>INDEX(Assets[Asset_ID],MATCH(Network_Connections[[#This Row],[From1]],Assets[name],0))</f>
        <v>A00008</v>
      </c>
      <c r="D185" s="3" t="s">
        <v>155</v>
      </c>
      <c r="E185" s="3" t="str">
        <f xml:space="preserve"> SUBSTITUTE(RIGHT(SUBSTITUTE(Network_Connections[[#This Row],[to]],"_",REPT("*",10)),10),"*","")</f>
        <v>SW2</v>
      </c>
      <c r="F185" s="3" t="str">
        <f>INDEX(Assets[Asset_ID],MATCH(Network_Connections[[#This Row],[From2]],Assets[name],0))</f>
        <v>A00016</v>
      </c>
      <c r="G185" s="3" t="s">
        <v>145</v>
      </c>
      <c r="H185" s="3" t="s">
        <v>144</v>
      </c>
      <c r="I185" s="3">
        <v>0</v>
      </c>
      <c r="J18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5" s="3" t="str">
        <f>RIGHT(Network_Connections[[#This Row],[port/protocol]],LEN(Network_Connections[[#This Row],[port/protocol]])-FIND("/",Network_Connections[[#This Row],[port/protocol]]))</f>
        <v>0-65535</v>
      </c>
      <c r="L185" s="3">
        <f t="shared" si="3"/>
        <v>0</v>
      </c>
    </row>
    <row r="186" spans="1:12" x14ac:dyDescent="0.2">
      <c r="A186" s="3" t="s">
        <v>163</v>
      </c>
      <c r="B186" s="3" t="str">
        <f xml:space="preserve"> SUBSTITUTE(RIGHT(SUBSTITUTE(Network_Connections[[#This Row],[from]],"_",REPT("*",10)),10),"*","")</f>
        <v>ERP</v>
      </c>
      <c r="C186" s="3" t="str">
        <f>INDEX(Assets[Asset_ID],MATCH(Network_Connections[[#This Row],[From1]],Assets[name],0))</f>
        <v>A00008</v>
      </c>
      <c r="D186" s="3" t="s">
        <v>154</v>
      </c>
      <c r="E186" s="3" t="str">
        <f xml:space="preserve"> SUBSTITUTE(RIGHT(SUBSTITUTE(Network_Connections[[#This Row],[to]],"_",REPT("*",10)),10),"*","")</f>
        <v>WS2</v>
      </c>
      <c r="F186" s="3" t="str">
        <f>INDEX(Assets[Asset_ID],MATCH(Network_Connections[[#This Row],[From2]],Assets[name],0))</f>
        <v>A00017</v>
      </c>
      <c r="G186" s="3" t="s">
        <v>145</v>
      </c>
      <c r="H186" s="3" t="s">
        <v>144</v>
      </c>
      <c r="I186" s="3">
        <v>0</v>
      </c>
      <c r="J18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6" s="3" t="str">
        <f>RIGHT(Network_Connections[[#This Row],[port/protocol]],LEN(Network_Connections[[#This Row],[port/protocol]])-FIND("/",Network_Connections[[#This Row],[port/protocol]]))</f>
        <v>0-65535</v>
      </c>
      <c r="L186" s="3">
        <f t="shared" si="3"/>
        <v>0</v>
      </c>
    </row>
    <row r="187" spans="1:12" x14ac:dyDescent="0.2">
      <c r="A187" s="3" t="s">
        <v>163</v>
      </c>
      <c r="B187" s="3" t="str">
        <f xml:space="preserve"> SUBSTITUTE(RIGHT(SUBSTITUTE(Network_Connections[[#This Row],[from]],"_",REPT("*",10)),10),"*","")</f>
        <v>ERP</v>
      </c>
      <c r="C187" s="3" t="str">
        <f>INDEX(Assets[Asset_ID],MATCH(Network_Connections[[#This Row],[From1]],Assets[name],0))</f>
        <v>A00008</v>
      </c>
      <c r="D187" s="3" t="s">
        <v>153</v>
      </c>
      <c r="E187" s="3" t="str">
        <f xml:space="preserve"> SUBSTITUTE(RIGHT(SUBSTITUTE(Network_Connections[[#This Row],[to]],"_",REPT("*",10)),10),"*","")</f>
        <v>WS3</v>
      </c>
      <c r="F187" s="3" t="str">
        <f>INDEX(Assets[Asset_ID],MATCH(Network_Connections[[#This Row],[From2]],Assets[name],0))</f>
        <v>A00018</v>
      </c>
      <c r="G187" s="3" t="s">
        <v>145</v>
      </c>
      <c r="H187" s="3" t="s">
        <v>144</v>
      </c>
      <c r="I187" s="3">
        <v>0</v>
      </c>
      <c r="J18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7" s="3" t="str">
        <f>RIGHT(Network_Connections[[#This Row],[port/protocol]],LEN(Network_Connections[[#This Row],[port/protocol]])-FIND("/",Network_Connections[[#This Row],[port/protocol]]))</f>
        <v>0-65535</v>
      </c>
      <c r="L187" s="3">
        <f t="shared" si="3"/>
        <v>0</v>
      </c>
    </row>
    <row r="188" spans="1:12" x14ac:dyDescent="0.2">
      <c r="A188" s="3" t="s">
        <v>163</v>
      </c>
      <c r="B188" s="3" t="str">
        <f xml:space="preserve"> SUBSTITUTE(RIGHT(SUBSTITUTE(Network_Connections[[#This Row],[from]],"_",REPT("*",10)),10),"*","")</f>
        <v>ERP</v>
      </c>
      <c r="C188" s="3" t="str">
        <f>INDEX(Assets[Asset_ID],MATCH(Network_Connections[[#This Row],[From1]],Assets[name],0))</f>
        <v>A00008</v>
      </c>
      <c r="D188" s="3" t="s">
        <v>152</v>
      </c>
      <c r="E188" s="3" t="str">
        <f xml:space="preserve"> SUBSTITUTE(RIGHT(SUBSTITUTE(Network_Connections[[#This Row],[to]],"_",REPT("*",10)),10),"*","")</f>
        <v>WS4</v>
      </c>
      <c r="F188" s="3" t="str">
        <f>INDEX(Assets[Asset_ID],MATCH(Network_Connections[[#This Row],[From2]],Assets[name],0))</f>
        <v>A00019</v>
      </c>
      <c r="G188" s="3" t="s">
        <v>145</v>
      </c>
      <c r="H188" s="3" t="s">
        <v>144</v>
      </c>
      <c r="I188" s="3">
        <v>0</v>
      </c>
      <c r="J18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8" s="3" t="str">
        <f>RIGHT(Network_Connections[[#This Row],[port/protocol]],LEN(Network_Connections[[#This Row],[port/protocol]])-FIND("/",Network_Connections[[#This Row],[port/protocol]]))</f>
        <v>0-65535</v>
      </c>
      <c r="L188" s="3">
        <f t="shared" si="3"/>
        <v>0</v>
      </c>
    </row>
    <row r="189" spans="1:12" x14ac:dyDescent="0.2">
      <c r="A189" s="3" t="s">
        <v>163</v>
      </c>
      <c r="B189" s="3" t="str">
        <f xml:space="preserve"> SUBSTITUTE(RIGHT(SUBSTITUTE(Network_Connections[[#This Row],[from]],"_",REPT("*",10)),10),"*","")</f>
        <v>ERP</v>
      </c>
      <c r="C189" s="3" t="str">
        <f>INDEX(Assets[Asset_ID],MATCH(Network_Connections[[#This Row],[From1]],Assets[name],0))</f>
        <v>A00008</v>
      </c>
      <c r="D189" s="3" t="s">
        <v>151</v>
      </c>
      <c r="E189" s="3" t="str">
        <f xml:space="preserve"> SUBSTITUTE(RIGHT(SUBSTITUTE(Network_Connections[[#This Row],[to]],"_",REPT("*",10)),10),"*","")</f>
        <v>FW4</v>
      </c>
      <c r="F189" s="3" t="str">
        <f>INDEX(Assets[Asset_ID],MATCH(Network_Connections[[#This Row],[From2]],Assets[name],0))</f>
        <v>A00020</v>
      </c>
      <c r="G189" s="3" t="s">
        <v>145</v>
      </c>
      <c r="H189" s="3" t="s">
        <v>144</v>
      </c>
      <c r="I189" s="3">
        <v>0</v>
      </c>
      <c r="J18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89" s="3" t="str">
        <f>RIGHT(Network_Connections[[#This Row],[port/protocol]],LEN(Network_Connections[[#This Row],[port/protocol]])-FIND("/",Network_Connections[[#This Row],[port/protocol]]))</f>
        <v>0-65535</v>
      </c>
      <c r="L189" s="3">
        <f t="shared" si="3"/>
        <v>0</v>
      </c>
    </row>
    <row r="190" spans="1:12" x14ac:dyDescent="0.2">
      <c r="A190" s="3" t="s">
        <v>163</v>
      </c>
      <c r="B190" s="3" t="str">
        <f xml:space="preserve"> SUBSTITUTE(RIGHT(SUBSTITUTE(Network_Connections[[#This Row],[from]],"_",REPT("*",10)),10),"*","")</f>
        <v>ERP</v>
      </c>
      <c r="C190" s="3" t="str">
        <f>INDEX(Assets[Asset_ID],MATCH(Network_Connections[[#This Row],[From1]],Assets[name],0))</f>
        <v>A00008</v>
      </c>
      <c r="D190" s="3" t="s">
        <v>150</v>
      </c>
      <c r="E190" s="3" t="str">
        <f xml:space="preserve"> SUBSTITUTE(RIGHT(SUBSTITUTE(Network_Connections[[#This Row],[to]],"_",REPT("*",10)),10),"*","")</f>
        <v>WIFI2</v>
      </c>
      <c r="F190" s="3" t="str">
        <f>INDEX(Assets[Asset_ID],MATCH(Network_Connections[[#This Row],[From2]],Assets[name],0))</f>
        <v>A00021</v>
      </c>
      <c r="G190" s="3" t="s">
        <v>145</v>
      </c>
      <c r="H190" s="3" t="s">
        <v>144</v>
      </c>
      <c r="I190" s="3">
        <v>0</v>
      </c>
      <c r="J19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0" s="3" t="str">
        <f>RIGHT(Network_Connections[[#This Row],[port/protocol]],LEN(Network_Connections[[#This Row],[port/protocol]])-FIND("/",Network_Connections[[#This Row],[port/protocol]]))</f>
        <v>0-65535</v>
      </c>
      <c r="L190" s="3">
        <f t="shared" si="3"/>
        <v>0</v>
      </c>
    </row>
    <row r="191" spans="1:12" x14ac:dyDescent="0.2">
      <c r="A191" s="3" t="s">
        <v>163</v>
      </c>
      <c r="B191" s="3" t="str">
        <f xml:space="preserve"> SUBSTITUTE(RIGHT(SUBSTITUTE(Network_Connections[[#This Row],[from]],"_",REPT("*",10)),10),"*","")</f>
        <v>ERP</v>
      </c>
      <c r="C191" s="3" t="str">
        <f>INDEX(Assets[Asset_ID],MATCH(Network_Connections[[#This Row],[From1]],Assets[name],0))</f>
        <v>A00008</v>
      </c>
      <c r="D191" s="3" t="s">
        <v>149</v>
      </c>
      <c r="E191" s="3" t="str">
        <f xml:space="preserve"> SUBSTITUTE(RIGHT(SUBSTITUTE(Network_Connections[[#This Row],[to]],"_",REPT("*",10)),10),"*","")</f>
        <v>WS5</v>
      </c>
      <c r="F191" s="3" t="str">
        <f>INDEX(Assets[Asset_ID],MATCH(Network_Connections[[#This Row],[From2]],Assets[name],0))</f>
        <v>A00022</v>
      </c>
      <c r="G191" s="3" t="s">
        <v>145</v>
      </c>
      <c r="H191" s="3" t="s">
        <v>144</v>
      </c>
      <c r="I191" s="3">
        <v>0</v>
      </c>
      <c r="J19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1" s="3" t="str">
        <f>RIGHT(Network_Connections[[#This Row],[port/protocol]],LEN(Network_Connections[[#This Row],[port/protocol]])-FIND("/",Network_Connections[[#This Row],[port/protocol]]))</f>
        <v>0-65535</v>
      </c>
      <c r="L191" s="3">
        <f t="shared" si="3"/>
        <v>0</v>
      </c>
    </row>
    <row r="192" spans="1:12" x14ac:dyDescent="0.2">
      <c r="A192" s="3" t="s">
        <v>163</v>
      </c>
      <c r="B192" s="3" t="str">
        <f xml:space="preserve"> SUBSTITUTE(RIGHT(SUBSTITUTE(Network_Connections[[#This Row],[from]],"_",REPT("*",10)),10),"*","")</f>
        <v>ERP</v>
      </c>
      <c r="C192" s="3" t="str">
        <f>INDEX(Assets[Asset_ID],MATCH(Network_Connections[[#This Row],[From1]],Assets[name],0))</f>
        <v>A00008</v>
      </c>
      <c r="D192" s="3" t="s">
        <v>148</v>
      </c>
      <c r="E192" s="3" t="str">
        <f xml:space="preserve"> SUBSTITUTE(RIGHT(SUBSTITUTE(Network_Connections[[#This Row],[to]],"_",REPT("*",10)),10),"*","")</f>
        <v>WS6</v>
      </c>
      <c r="F192" s="3" t="str">
        <f>INDEX(Assets[Asset_ID],MATCH(Network_Connections[[#This Row],[From2]],Assets[name],0))</f>
        <v>A00023</v>
      </c>
      <c r="G192" s="3" t="s">
        <v>145</v>
      </c>
      <c r="H192" s="3" t="s">
        <v>144</v>
      </c>
      <c r="I192" s="3">
        <v>0</v>
      </c>
      <c r="J19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2" s="3" t="str">
        <f>RIGHT(Network_Connections[[#This Row],[port/protocol]],LEN(Network_Connections[[#This Row],[port/protocol]])-FIND("/",Network_Connections[[#This Row],[port/protocol]]))</f>
        <v>0-65535</v>
      </c>
      <c r="L192" s="3">
        <f t="shared" si="3"/>
        <v>0</v>
      </c>
    </row>
    <row r="193" spans="1:12" x14ac:dyDescent="0.2">
      <c r="A193" s="3" t="s">
        <v>163</v>
      </c>
      <c r="B193" s="3" t="str">
        <f xml:space="preserve"> SUBSTITUTE(RIGHT(SUBSTITUTE(Network_Connections[[#This Row],[from]],"_",REPT("*",10)),10),"*","")</f>
        <v>ERP</v>
      </c>
      <c r="C193" s="3" t="str">
        <f>INDEX(Assets[Asset_ID],MATCH(Network_Connections[[#This Row],[From1]],Assets[name],0))</f>
        <v>A00008</v>
      </c>
      <c r="D193" s="3" t="s">
        <v>146</v>
      </c>
      <c r="E193" s="3" t="str">
        <f xml:space="preserve"> SUBSTITUTE(RIGHT(SUBSTITUTE(Network_Connections[[#This Row],[to]],"_",REPT("*",10)),10),"*","")</f>
        <v>WS7</v>
      </c>
      <c r="F193" s="3" t="str">
        <f>INDEX(Assets[Asset_ID],MATCH(Network_Connections[[#This Row],[From2]],Assets[name],0))</f>
        <v>A00024</v>
      </c>
      <c r="G193" s="3" t="s">
        <v>145</v>
      </c>
      <c r="H193" s="3" t="s">
        <v>144</v>
      </c>
      <c r="I193" s="3">
        <v>0</v>
      </c>
      <c r="J19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3" s="3" t="str">
        <f>RIGHT(Network_Connections[[#This Row],[port/protocol]],LEN(Network_Connections[[#This Row],[port/protocol]])-FIND("/",Network_Connections[[#This Row],[port/protocol]]))</f>
        <v>0-65535</v>
      </c>
      <c r="L193" s="3">
        <f t="shared" si="3"/>
        <v>0</v>
      </c>
    </row>
    <row r="194" spans="1:12" x14ac:dyDescent="0.2">
      <c r="A194" s="3" t="s">
        <v>163</v>
      </c>
      <c r="B194" s="3" t="str">
        <f xml:space="preserve"> SUBSTITUTE(RIGHT(SUBSTITUTE(Network_Connections[[#This Row],[from]],"_",REPT("*",10)),10),"*","")</f>
        <v>ERP</v>
      </c>
      <c r="C194" s="3" t="str">
        <f>INDEX(Assets[Asset_ID],MATCH(Network_Connections[[#This Row],[From1]],Assets[name],0))</f>
        <v>A00008</v>
      </c>
      <c r="D194" s="3" t="s">
        <v>147</v>
      </c>
      <c r="E194" s="3" t="str">
        <f xml:space="preserve"> SUBSTITUTE(RIGHT(SUBSTITUTE(Network_Connections[[#This Row],[to]],"_",REPT("*",10)),10),"*","")</f>
        <v>WS8</v>
      </c>
      <c r="F194" s="3" t="str">
        <f>INDEX(Assets[Asset_ID],MATCH(Network_Connections[[#This Row],[From2]],Assets[name],0))</f>
        <v>A00025</v>
      </c>
      <c r="G194" s="3" t="s">
        <v>145</v>
      </c>
      <c r="H194" s="3" t="s">
        <v>144</v>
      </c>
      <c r="I194" s="3">
        <v>0</v>
      </c>
      <c r="J19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4" s="3" t="str">
        <f>RIGHT(Network_Connections[[#This Row],[port/protocol]],LEN(Network_Connections[[#This Row],[port/protocol]])-FIND("/",Network_Connections[[#This Row],[port/protocol]]))</f>
        <v>0-65535</v>
      </c>
      <c r="L194" s="3">
        <f t="shared" ref="L194:L257" si="4">IF(AND(C194=C193, F194=F193), L193+1, 0)</f>
        <v>0</v>
      </c>
    </row>
    <row r="195" spans="1:12" x14ac:dyDescent="0.2">
      <c r="A195" s="3" t="s">
        <v>162</v>
      </c>
      <c r="B195" s="3" t="str">
        <f xml:space="preserve"> SUBSTITUTE(RIGHT(SUBSTITUTE(Network_Connections[[#This Row],[from]],"_",REPT("*",10)),10),"*","")</f>
        <v>Banking</v>
      </c>
      <c r="C195" s="3" t="str">
        <f>INDEX(Assets[Asset_ID],MATCH(Network_Connections[[#This Row],[From1]],Assets[name],0))</f>
        <v>A00009</v>
      </c>
      <c r="D195" s="3" t="s">
        <v>171</v>
      </c>
      <c r="E195" s="3" t="str">
        <f xml:space="preserve"> SUBSTITUTE(RIGHT(SUBSTITUTE(Network_Connections[[#This Row],[to]],"_",REPT("*",10)),10),"*","")</f>
        <v>FW1</v>
      </c>
      <c r="F195" s="3" t="str">
        <f>INDEX(Assets[Asset_ID],MATCH(Network_Connections[[#This Row],[From2]],Assets[name],0))</f>
        <v>A00001</v>
      </c>
      <c r="G195" s="3" t="s">
        <v>145</v>
      </c>
      <c r="H195" s="3" t="s">
        <v>144</v>
      </c>
      <c r="I195" s="3">
        <v>0</v>
      </c>
      <c r="J19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5" s="3" t="str">
        <f>RIGHT(Network_Connections[[#This Row],[port/protocol]],LEN(Network_Connections[[#This Row],[port/protocol]])-FIND("/",Network_Connections[[#This Row],[port/protocol]]))</f>
        <v>0-65535</v>
      </c>
      <c r="L195" s="3">
        <f t="shared" si="4"/>
        <v>0</v>
      </c>
    </row>
    <row r="196" spans="1:12" x14ac:dyDescent="0.2">
      <c r="A196" s="3" t="s">
        <v>162</v>
      </c>
      <c r="B196" s="3" t="str">
        <f xml:space="preserve"> SUBSTITUTE(RIGHT(SUBSTITUTE(Network_Connections[[#This Row],[from]],"_",REPT("*",10)),10),"*","")</f>
        <v>Banking</v>
      </c>
      <c r="C196" s="3" t="str">
        <f>INDEX(Assets[Asset_ID],MATCH(Network_Connections[[#This Row],[From1]],Assets[name],0))</f>
        <v>A00009</v>
      </c>
      <c r="D196" s="3" t="s">
        <v>170</v>
      </c>
      <c r="E196" s="3" t="str">
        <f xml:space="preserve"> SUBSTITUTE(RIGHT(SUBSTITUTE(Network_Connections[[#This Row],[to]],"_",REPT("*",10)),10),"*","")</f>
        <v>VPNSRV</v>
      </c>
      <c r="F196" s="3" t="str">
        <f>INDEX(Assets[Asset_ID],MATCH(Network_Connections[[#This Row],[From2]],Assets[name],0))</f>
        <v>A00002</v>
      </c>
      <c r="G196" s="3" t="s">
        <v>145</v>
      </c>
      <c r="H196" s="3" t="s">
        <v>144</v>
      </c>
      <c r="I196" s="3">
        <v>0</v>
      </c>
      <c r="J19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6" s="3" t="str">
        <f>RIGHT(Network_Connections[[#This Row],[port/protocol]],LEN(Network_Connections[[#This Row],[port/protocol]])-FIND("/",Network_Connections[[#This Row],[port/protocol]]))</f>
        <v>0-65535</v>
      </c>
      <c r="L196" s="3">
        <f t="shared" si="4"/>
        <v>0</v>
      </c>
    </row>
    <row r="197" spans="1:12" x14ac:dyDescent="0.2">
      <c r="A197" s="3" t="s">
        <v>162</v>
      </c>
      <c r="B197" s="3" t="str">
        <f xml:space="preserve"> SUBSTITUTE(RIGHT(SUBSTITUTE(Network_Connections[[#This Row],[from]],"_",REPT("*",10)),10),"*","")</f>
        <v>Banking</v>
      </c>
      <c r="C197" s="3" t="str">
        <f>INDEX(Assets[Asset_ID],MATCH(Network_Connections[[#This Row],[From1]],Assets[name],0))</f>
        <v>A00009</v>
      </c>
      <c r="D197" s="3" t="s">
        <v>169</v>
      </c>
      <c r="E197" s="3" t="str">
        <f xml:space="preserve"> SUBSTITUTE(RIGHT(SUBSTITUTE(Network_Connections[[#This Row],[to]],"_",REPT("*",10)),10),"*","")</f>
        <v>WebSRV1</v>
      </c>
      <c r="F197" s="3" t="str">
        <f>INDEX(Assets[Asset_ID],MATCH(Network_Connections[[#This Row],[From2]],Assets[name],0))</f>
        <v>A00003</v>
      </c>
      <c r="G197" s="3" t="s">
        <v>145</v>
      </c>
      <c r="H197" s="3" t="s">
        <v>144</v>
      </c>
      <c r="I197" s="3">
        <v>0</v>
      </c>
      <c r="J19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7" s="3" t="str">
        <f>RIGHT(Network_Connections[[#This Row],[port/protocol]],LEN(Network_Connections[[#This Row],[port/protocol]])-FIND("/",Network_Connections[[#This Row],[port/protocol]]))</f>
        <v>0-65535</v>
      </c>
      <c r="L197" s="3">
        <f t="shared" si="4"/>
        <v>0</v>
      </c>
    </row>
    <row r="198" spans="1:12" x14ac:dyDescent="0.2">
      <c r="A198" s="3" t="s">
        <v>162</v>
      </c>
      <c r="B198" s="3" t="str">
        <f xml:space="preserve"> SUBSTITUTE(RIGHT(SUBSTITUTE(Network_Connections[[#This Row],[from]],"_",REPT("*",10)),10),"*","")</f>
        <v>Banking</v>
      </c>
      <c r="C198" s="3" t="str">
        <f>INDEX(Assets[Asset_ID],MATCH(Network_Connections[[#This Row],[From1]],Assets[name],0))</f>
        <v>A00009</v>
      </c>
      <c r="D198" s="3" t="s">
        <v>168</v>
      </c>
      <c r="E198" s="3" t="str">
        <f xml:space="preserve"> SUBSTITUTE(RIGHT(SUBSTITUTE(Network_Connections[[#This Row],[to]],"_",REPT("*",10)),10),"*","")</f>
        <v>WebSRV2</v>
      </c>
      <c r="F198" s="3" t="str">
        <f>INDEX(Assets[Asset_ID],MATCH(Network_Connections[[#This Row],[From2]],Assets[name],0))</f>
        <v>A00004</v>
      </c>
      <c r="G198" s="3" t="s">
        <v>145</v>
      </c>
      <c r="H198" s="3" t="s">
        <v>144</v>
      </c>
      <c r="I198" s="3">
        <v>0</v>
      </c>
      <c r="J19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8" s="3" t="str">
        <f>RIGHT(Network_Connections[[#This Row],[port/protocol]],LEN(Network_Connections[[#This Row],[port/protocol]])-FIND("/",Network_Connections[[#This Row],[port/protocol]]))</f>
        <v>0-65535</v>
      </c>
      <c r="L198" s="3">
        <f t="shared" si="4"/>
        <v>0</v>
      </c>
    </row>
    <row r="199" spans="1:12" x14ac:dyDescent="0.2">
      <c r="A199" s="3" t="s">
        <v>162</v>
      </c>
      <c r="B199" s="3" t="str">
        <f xml:space="preserve"> SUBSTITUTE(RIGHT(SUBSTITUTE(Network_Connections[[#This Row],[from]],"_",REPT("*",10)),10),"*","")</f>
        <v>Banking</v>
      </c>
      <c r="C199" s="3" t="str">
        <f>INDEX(Assets[Asset_ID],MATCH(Network_Connections[[#This Row],[From1]],Assets[name],0))</f>
        <v>A00009</v>
      </c>
      <c r="D199" s="3" t="s">
        <v>166</v>
      </c>
      <c r="E199" s="3" t="str">
        <f xml:space="preserve"> SUBSTITUTE(RIGHT(SUBSTITUTE(Network_Connections[[#This Row],[to]],"_",REPT("*",10)),10),"*","")</f>
        <v>FW2</v>
      </c>
      <c r="F199" s="3" t="str">
        <f>INDEX(Assets[Asset_ID],MATCH(Network_Connections[[#This Row],[From2]],Assets[name],0))</f>
        <v>A00005</v>
      </c>
      <c r="G199" s="3" t="s">
        <v>145</v>
      </c>
      <c r="H199" s="3" t="s">
        <v>144</v>
      </c>
      <c r="I199" s="3">
        <v>0</v>
      </c>
      <c r="J19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199" s="3" t="str">
        <f>RIGHT(Network_Connections[[#This Row],[port/protocol]],LEN(Network_Connections[[#This Row],[port/protocol]])-FIND("/",Network_Connections[[#This Row],[port/protocol]]))</f>
        <v>0-65535</v>
      </c>
      <c r="L199" s="3">
        <f t="shared" si="4"/>
        <v>0</v>
      </c>
    </row>
    <row r="200" spans="1:12" x14ac:dyDescent="0.2">
      <c r="A200" s="3" t="s">
        <v>162</v>
      </c>
      <c r="B200" s="3" t="str">
        <f xml:space="preserve"> SUBSTITUTE(RIGHT(SUBSTITUTE(Network_Connections[[#This Row],[from]],"_",REPT("*",10)),10),"*","")</f>
        <v>Banking</v>
      </c>
      <c r="C200" s="3" t="str">
        <f>INDEX(Assets[Asset_ID],MATCH(Network_Connections[[#This Row],[From1]],Assets[name],0))</f>
        <v>A00009</v>
      </c>
      <c r="D200" s="3" t="s">
        <v>165</v>
      </c>
      <c r="E200" s="3" t="str">
        <f xml:space="preserve"> SUBSTITUTE(RIGHT(SUBSTITUTE(Network_Connections[[#This Row],[to]],"_",REPT("*",10)),10),"*","")</f>
        <v>SW1</v>
      </c>
      <c r="F200" s="3" t="str">
        <f>INDEX(Assets[Asset_ID],MATCH(Network_Connections[[#This Row],[From2]],Assets[name],0))</f>
        <v>A00006</v>
      </c>
      <c r="G200" s="3" t="s">
        <v>145</v>
      </c>
      <c r="H200" s="3" t="s">
        <v>144</v>
      </c>
      <c r="I200" s="3">
        <v>1</v>
      </c>
      <c r="J20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"A00009"-&gt;"A00006"@00:("IP", "0-65535");</v>
      </c>
      <c r="K200" s="3" t="str">
        <f>RIGHT(Network_Connections[[#This Row],[port/protocol]],LEN(Network_Connections[[#This Row],[port/protocol]])-FIND("/",Network_Connections[[#This Row],[port/protocol]]))</f>
        <v>0-65535</v>
      </c>
      <c r="L200" s="3">
        <f t="shared" si="4"/>
        <v>0</v>
      </c>
    </row>
    <row r="201" spans="1:12" x14ac:dyDescent="0.2">
      <c r="A201" s="3" t="s">
        <v>162</v>
      </c>
      <c r="B201" s="3" t="str">
        <f xml:space="preserve"> SUBSTITUTE(RIGHT(SUBSTITUTE(Network_Connections[[#This Row],[from]],"_",REPT("*",10)),10),"*","")</f>
        <v>Banking</v>
      </c>
      <c r="C201" s="3" t="str">
        <f>INDEX(Assets[Asset_ID],MATCH(Network_Connections[[#This Row],[From1]],Assets[name],0))</f>
        <v>A00009</v>
      </c>
      <c r="D201" s="3" t="s">
        <v>164</v>
      </c>
      <c r="E201" s="3" t="str">
        <f xml:space="preserve"> SUBSTITUTE(RIGHT(SUBSTITUTE(Network_Connections[[#This Row],[to]],"_",REPT("*",10)),10),"*","")</f>
        <v>AD</v>
      </c>
      <c r="F201" s="3" t="str">
        <f>INDEX(Assets[Asset_ID],MATCH(Network_Connections[[#This Row],[From2]],Assets[name],0))</f>
        <v>A00007</v>
      </c>
      <c r="G201" s="3" t="s">
        <v>145</v>
      </c>
      <c r="H201" s="3" t="s">
        <v>144</v>
      </c>
      <c r="I201" s="3">
        <v>1</v>
      </c>
      <c r="J20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"A00009"-&gt;"A00007"@00:("IP", "0-65535");</v>
      </c>
      <c r="K201" s="3" t="str">
        <f>RIGHT(Network_Connections[[#This Row],[port/protocol]],LEN(Network_Connections[[#This Row],[port/protocol]])-FIND("/",Network_Connections[[#This Row],[port/protocol]]))</f>
        <v>0-65535</v>
      </c>
      <c r="L201" s="3">
        <f t="shared" si="4"/>
        <v>0</v>
      </c>
    </row>
    <row r="202" spans="1:12" x14ac:dyDescent="0.2">
      <c r="A202" s="3" t="s">
        <v>162</v>
      </c>
      <c r="B202" s="3" t="str">
        <f xml:space="preserve"> SUBSTITUTE(RIGHT(SUBSTITUTE(Network_Connections[[#This Row],[from]],"_",REPT("*",10)),10),"*","")</f>
        <v>Banking</v>
      </c>
      <c r="C202" s="3" t="str">
        <f>INDEX(Assets[Asset_ID],MATCH(Network_Connections[[#This Row],[From1]],Assets[name],0))</f>
        <v>A00009</v>
      </c>
      <c r="D202" s="3" t="s">
        <v>163</v>
      </c>
      <c r="E202" s="3" t="str">
        <f xml:space="preserve"> SUBSTITUTE(RIGHT(SUBSTITUTE(Network_Connections[[#This Row],[to]],"_",REPT("*",10)),10),"*","")</f>
        <v>ERP</v>
      </c>
      <c r="F202" s="3" t="str">
        <f>INDEX(Assets[Asset_ID],MATCH(Network_Connections[[#This Row],[From2]],Assets[name],0))</f>
        <v>A00008</v>
      </c>
      <c r="G202" s="3" t="s">
        <v>145</v>
      </c>
      <c r="H202" s="3" t="s">
        <v>144</v>
      </c>
      <c r="I202" s="3">
        <v>1</v>
      </c>
      <c r="J20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"A00009"-&gt;"A00008"@00:("IP", "0-65535");</v>
      </c>
      <c r="K202" s="3" t="str">
        <f>RIGHT(Network_Connections[[#This Row],[port/protocol]],LEN(Network_Connections[[#This Row],[port/protocol]])-FIND("/",Network_Connections[[#This Row],[port/protocol]]))</f>
        <v>0-65535</v>
      </c>
      <c r="L202" s="3">
        <f t="shared" si="4"/>
        <v>0</v>
      </c>
    </row>
    <row r="203" spans="1:12" x14ac:dyDescent="0.2">
      <c r="A203" s="3" t="s">
        <v>162</v>
      </c>
      <c r="B203" s="3" t="str">
        <f xml:space="preserve"> SUBSTITUTE(RIGHT(SUBSTITUTE(Network_Connections[[#This Row],[from]],"_",REPT("*",10)),10),"*","")</f>
        <v>Banking</v>
      </c>
      <c r="C203" s="3" t="str">
        <f>INDEX(Assets[Asset_ID],MATCH(Network_Connections[[#This Row],[From1]],Assets[name],0))</f>
        <v>A00009</v>
      </c>
      <c r="D203" s="3" t="s">
        <v>161</v>
      </c>
      <c r="E203" s="3" t="str">
        <f xml:space="preserve"> SUBSTITUTE(RIGHT(SUBSTITUTE(Network_Connections[[#This Row],[to]],"_",REPT("*",10)),10),"*","")</f>
        <v>Email</v>
      </c>
      <c r="F203" s="3" t="str">
        <f>INDEX(Assets[Asset_ID],MATCH(Network_Connections[[#This Row],[From2]],Assets[name],0))</f>
        <v>A00010</v>
      </c>
      <c r="G203" s="3" t="s">
        <v>145</v>
      </c>
      <c r="H203" s="3" t="s">
        <v>144</v>
      </c>
      <c r="I203" s="3">
        <v>1</v>
      </c>
      <c r="J20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"A00009"-&gt;"A00010"@00:("IP", "0-65535");</v>
      </c>
      <c r="K203" s="3" t="str">
        <f>RIGHT(Network_Connections[[#This Row],[port/protocol]],LEN(Network_Connections[[#This Row],[port/protocol]])-FIND("/",Network_Connections[[#This Row],[port/protocol]]))</f>
        <v>0-65535</v>
      </c>
      <c r="L203" s="3">
        <f t="shared" si="4"/>
        <v>0</v>
      </c>
    </row>
    <row r="204" spans="1:12" x14ac:dyDescent="0.2">
      <c r="A204" s="3" t="s">
        <v>162</v>
      </c>
      <c r="B204" s="3" t="str">
        <f xml:space="preserve"> SUBSTITUTE(RIGHT(SUBSTITUTE(Network_Connections[[#This Row],[from]],"_",REPT("*",10)),10),"*","")</f>
        <v>Banking</v>
      </c>
      <c r="C204" s="3" t="str">
        <f>INDEX(Assets[Asset_ID],MATCH(Network_Connections[[#This Row],[From1]],Assets[name],0))</f>
        <v>A00009</v>
      </c>
      <c r="D204" s="3" t="s">
        <v>160</v>
      </c>
      <c r="E204" s="3" t="str">
        <f xml:space="preserve"> SUBSTITUTE(RIGHT(SUBSTITUTE(Network_Connections[[#This Row],[to]],"_",REPT("*",10)),10),"*","")</f>
        <v>WMS</v>
      </c>
      <c r="F204" s="3" t="str">
        <f>INDEX(Assets[Asset_ID],MATCH(Network_Connections[[#This Row],[From2]],Assets[name],0))</f>
        <v>A00011</v>
      </c>
      <c r="G204" s="3" t="s">
        <v>145</v>
      </c>
      <c r="H204" s="3" t="s">
        <v>144</v>
      </c>
      <c r="I204" s="3">
        <v>1</v>
      </c>
      <c r="J20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"A00009"-&gt;"A00011"@00:("IP", "0-65535");</v>
      </c>
      <c r="K204" s="3" t="str">
        <f>RIGHT(Network_Connections[[#This Row],[port/protocol]],LEN(Network_Connections[[#This Row],[port/protocol]])-FIND("/",Network_Connections[[#This Row],[port/protocol]]))</f>
        <v>0-65535</v>
      </c>
      <c r="L204" s="3">
        <f t="shared" si="4"/>
        <v>0</v>
      </c>
    </row>
    <row r="205" spans="1:12" x14ac:dyDescent="0.2">
      <c r="A205" s="3" t="s">
        <v>162</v>
      </c>
      <c r="B205" s="3" t="str">
        <f xml:space="preserve"> SUBSTITUTE(RIGHT(SUBSTITUTE(Network_Connections[[#This Row],[from]],"_",REPT("*",10)),10),"*","")</f>
        <v>Banking</v>
      </c>
      <c r="C205" s="3" t="str">
        <f>INDEX(Assets[Asset_ID],MATCH(Network_Connections[[#This Row],[From1]],Assets[name],0))</f>
        <v>A00009</v>
      </c>
      <c r="D205" s="3" t="s">
        <v>159</v>
      </c>
      <c r="E205" s="3" t="str">
        <f xml:space="preserve"> SUBSTITUTE(RIGHT(SUBSTITUTE(Network_Connections[[#This Row],[to]],"_",REPT("*",10)),10),"*","")</f>
        <v>CRM</v>
      </c>
      <c r="F205" s="3" t="str">
        <f>INDEX(Assets[Asset_ID],MATCH(Network_Connections[[#This Row],[From2]],Assets[name],0))</f>
        <v>A00012</v>
      </c>
      <c r="G205" s="3" t="s">
        <v>145</v>
      </c>
      <c r="H205" s="3" t="s">
        <v>144</v>
      </c>
      <c r="I205" s="3">
        <v>1</v>
      </c>
      <c r="J20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"A00009"-&gt;"A00012"@00:("IP", "0-65535");</v>
      </c>
      <c r="K205" s="3" t="str">
        <f>RIGHT(Network_Connections[[#This Row],[port/protocol]],LEN(Network_Connections[[#This Row],[port/protocol]])-FIND("/",Network_Connections[[#This Row],[port/protocol]]))</f>
        <v>0-65535</v>
      </c>
      <c r="L205" s="3">
        <f t="shared" si="4"/>
        <v>0</v>
      </c>
    </row>
    <row r="206" spans="1:12" x14ac:dyDescent="0.2">
      <c r="A206" s="3" t="s">
        <v>162</v>
      </c>
      <c r="B206" s="3" t="str">
        <f xml:space="preserve"> SUBSTITUTE(RIGHT(SUBSTITUTE(Network_Connections[[#This Row],[from]],"_",REPT("*",10)),10),"*","")</f>
        <v>Banking</v>
      </c>
      <c r="C206" s="3" t="str">
        <f>INDEX(Assets[Asset_ID],MATCH(Network_Connections[[#This Row],[From1]],Assets[name],0))</f>
        <v>A00009</v>
      </c>
      <c r="D206" s="3" t="s">
        <v>158</v>
      </c>
      <c r="E206" s="3" t="str">
        <f xml:space="preserve"> SUBSTITUTE(RIGHT(SUBSTITUTE(Network_Connections[[#This Row],[to]],"_",REPT("*",10)),10),"*","")</f>
        <v>WIFI1</v>
      </c>
      <c r="F206" s="3" t="str">
        <f>INDEX(Assets[Asset_ID],MATCH(Network_Connections[[#This Row],[From2]],Assets[name],0))</f>
        <v>A00013</v>
      </c>
      <c r="G206" s="3" t="s">
        <v>145</v>
      </c>
      <c r="H206" s="3" t="s">
        <v>144</v>
      </c>
      <c r="I206" s="3">
        <v>0</v>
      </c>
      <c r="J20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06" s="3" t="str">
        <f>RIGHT(Network_Connections[[#This Row],[port/protocol]],LEN(Network_Connections[[#This Row],[port/protocol]])-FIND("/",Network_Connections[[#This Row],[port/protocol]]))</f>
        <v>0-65535</v>
      </c>
      <c r="L206" s="3">
        <f t="shared" si="4"/>
        <v>0</v>
      </c>
    </row>
    <row r="207" spans="1:12" x14ac:dyDescent="0.2">
      <c r="A207" s="3" t="s">
        <v>162</v>
      </c>
      <c r="B207" s="3" t="str">
        <f xml:space="preserve"> SUBSTITUTE(RIGHT(SUBSTITUTE(Network_Connections[[#This Row],[from]],"_",REPT("*",10)),10),"*","")</f>
        <v>Banking</v>
      </c>
      <c r="C207" s="3" t="str">
        <f>INDEX(Assets[Asset_ID],MATCH(Network_Connections[[#This Row],[From1]],Assets[name],0))</f>
        <v>A00009</v>
      </c>
      <c r="D207" s="3" t="s">
        <v>157</v>
      </c>
      <c r="E207" s="3" t="str">
        <f xml:space="preserve"> SUBSTITUTE(RIGHT(SUBSTITUTE(Network_Connections[[#This Row],[to]],"_",REPT("*",10)),10),"*","")</f>
        <v>WS1</v>
      </c>
      <c r="F207" s="3" t="str">
        <f>INDEX(Assets[Asset_ID],MATCH(Network_Connections[[#This Row],[From2]],Assets[name],0))</f>
        <v>A00014</v>
      </c>
      <c r="G207" s="3" t="s">
        <v>145</v>
      </c>
      <c r="H207" s="3" t="s">
        <v>144</v>
      </c>
      <c r="I207" s="3">
        <v>0</v>
      </c>
      <c r="J20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07" s="3" t="str">
        <f>RIGHT(Network_Connections[[#This Row],[port/protocol]],LEN(Network_Connections[[#This Row],[port/protocol]])-FIND("/",Network_Connections[[#This Row],[port/protocol]]))</f>
        <v>0-65535</v>
      </c>
      <c r="L207" s="3">
        <f t="shared" si="4"/>
        <v>0</v>
      </c>
    </row>
    <row r="208" spans="1:12" x14ac:dyDescent="0.2">
      <c r="A208" s="3" t="s">
        <v>162</v>
      </c>
      <c r="B208" s="3" t="str">
        <f xml:space="preserve"> SUBSTITUTE(RIGHT(SUBSTITUTE(Network_Connections[[#This Row],[from]],"_",REPT("*",10)),10),"*","")</f>
        <v>Banking</v>
      </c>
      <c r="C208" s="3" t="str">
        <f>INDEX(Assets[Asset_ID],MATCH(Network_Connections[[#This Row],[From1]],Assets[name],0))</f>
        <v>A00009</v>
      </c>
      <c r="D208" s="3" t="s">
        <v>156</v>
      </c>
      <c r="E208" s="3" t="str">
        <f xml:space="preserve"> SUBSTITUTE(RIGHT(SUBSTITUTE(Network_Connections[[#This Row],[to]],"_",REPT("*",10)),10),"*","")</f>
        <v>FW3</v>
      </c>
      <c r="F208" s="3" t="str">
        <f>INDEX(Assets[Asset_ID],MATCH(Network_Connections[[#This Row],[From2]],Assets[name],0))</f>
        <v>A00015</v>
      </c>
      <c r="G208" s="3" t="s">
        <v>145</v>
      </c>
      <c r="H208" s="3" t="s">
        <v>144</v>
      </c>
      <c r="I208" s="3">
        <v>0</v>
      </c>
      <c r="J20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08" s="3" t="str">
        <f>RIGHT(Network_Connections[[#This Row],[port/protocol]],LEN(Network_Connections[[#This Row],[port/protocol]])-FIND("/",Network_Connections[[#This Row],[port/protocol]]))</f>
        <v>0-65535</v>
      </c>
      <c r="L208" s="3">
        <f t="shared" si="4"/>
        <v>0</v>
      </c>
    </row>
    <row r="209" spans="1:12" x14ac:dyDescent="0.2">
      <c r="A209" s="3" t="s">
        <v>162</v>
      </c>
      <c r="B209" s="3" t="str">
        <f xml:space="preserve"> SUBSTITUTE(RIGHT(SUBSTITUTE(Network_Connections[[#This Row],[from]],"_",REPT("*",10)),10),"*","")</f>
        <v>Banking</v>
      </c>
      <c r="C209" s="3" t="str">
        <f>INDEX(Assets[Asset_ID],MATCH(Network_Connections[[#This Row],[From1]],Assets[name],0))</f>
        <v>A00009</v>
      </c>
      <c r="D209" s="3" t="s">
        <v>155</v>
      </c>
      <c r="E209" s="3" t="str">
        <f xml:space="preserve"> SUBSTITUTE(RIGHT(SUBSTITUTE(Network_Connections[[#This Row],[to]],"_",REPT("*",10)),10),"*","")</f>
        <v>SW2</v>
      </c>
      <c r="F209" s="3" t="str">
        <f>INDEX(Assets[Asset_ID],MATCH(Network_Connections[[#This Row],[From2]],Assets[name],0))</f>
        <v>A00016</v>
      </c>
      <c r="G209" s="3" t="s">
        <v>145</v>
      </c>
      <c r="H209" s="3" t="s">
        <v>144</v>
      </c>
      <c r="I209" s="3">
        <v>0</v>
      </c>
      <c r="J20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09" s="3" t="str">
        <f>RIGHT(Network_Connections[[#This Row],[port/protocol]],LEN(Network_Connections[[#This Row],[port/protocol]])-FIND("/",Network_Connections[[#This Row],[port/protocol]]))</f>
        <v>0-65535</v>
      </c>
      <c r="L209" s="3">
        <f t="shared" si="4"/>
        <v>0</v>
      </c>
    </row>
    <row r="210" spans="1:12" x14ac:dyDescent="0.2">
      <c r="A210" s="3" t="s">
        <v>162</v>
      </c>
      <c r="B210" s="3" t="str">
        <f xml:space="preserve"> SUBSTITUTE(RIGHT(SUBSTITUTE(Network_Connections[[#This Row],[from]],"_",REPT("*",10)),10),"*","")</f>
        <v>Banking</v>
      </c>
      <c r="C210" s="3" t="str">
        <f>INDEX(Assets[Asset_ID],MATCH(Network_Connections[[#This Row],[From1]],Assets[name],0))</f>
        <v>A00009</v>
      </c>
      <c r="D210" s="3" t="s">
        <v>154</v>
      </c>
      <c r="E210" s="3" t="str">
        <f xml:space="preserve"> SUBSTITUTE(RIGHT(SUBSTITUTE(Network_Connections[[#This Row],[to]],"_",REPT("*",10)),10),"*","")</f>
        <v>WS2</v>
      </c>
      <c r="F210" s="3" t="str">
        <f>INDEX(Assets[Asset_ID],MATCH(Network_Connections[[#This Row],[From2]],Assets[name],0))</f>
        <v>A00017</v>
      </c>
      <c r="G210" s="3" t="s">
        <v>145</v>
      </c>
      <c r="H210" s="3" t="s">
        <v>144</v>
      </c>
      <c r="I210" s="3">
        <v>0</v>
      </c>
      <c r="J21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0" s="3" t="str">
        <f>RIGHT(Network_Connections[[#This Row],[port/protocol]],LEN(Network_Connections[[#This Row],[port/protocol]])-FIND("/",Network_Connections[[#This Row],[port/protocol]]))</f>
        <v>0-65535</v>
      </c>
      <c r="L210" s="3">
        <f t="shared" si="4"/>
        <v>0</v>
      </c>
    </row>
    <row r="211" spans="1:12" x14ac:dyDescent="0.2">
      <c r="A211" s="3" t="s">
        <v>162</v>
      </c>
      <c r="B211" s="3" t="str">
        <f xml:space="preserve"> SUBSTITUTE(RIGHT(SUBSTITUTE(Network_Connections[[#This Row],[from]],"_",REPT("*",10)),10),"*","")</f>
        <v>Banking</v>
      </c>
      <c r="C211" s="3" t="str">
        <f>INDEX(Assets[Asset_ID],MATCH(Network_Connections[[#This Row],[From1]],Assets[name],0))</f>
        <v>A00009</v>
      </c>
      <c r="D211" s="3" t="s">
        <v>153</v>
      </c>
      <c r="E211" s="3" t="str">
        <f xml:space="preserve"> SUBSTITUTE(RIGHT(SUBSTITUTE(Network_Connections[[#This Row],[to]],"_",REPT("*",10)),10),"*","")</f>
        <v>WS3</v>
      </c>
      <c r="F211" s="3" t="str">
        <f>INDEX(Assets[Asset_ID],MATCH(Network_Connections[[#This Row],[From2]],Assets[name],0))</f>
        <v>A00018</v>
      </c>
      <c r="G211" s="3" t="s">
        <v>145</v>
      </c>
      <c r="H211" s="3" t="s">
        <v>144</v>
      </c>
      <c r="I211" s="3">
        <v>0</v>
      </c>
      <c r="J21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1" s="3" t="str">
        <f>RIGHT(Network_Connections[[#This Row],[port/protocol]],LEN(Network_Connections[[#This Row],[port/protocol]])-FIND("/",Network_Connections[[#This Row],[port/protocol]]))</f>
        <v>0-65535</v>
      </c>
      <c r="L211" s="3">
        <f t="shared" si="4"/>
        <v>0</v>
      </c>
    </row>
    <row r="212" spans="1:12" x14ac:dyDescent="0.2">
      <c r="A212" s="3" t="s">
        <v>162</v>
      </c>
      <c r="B212" s="3" t="str">
        <f xml:space="preserve"> SUBSTITUTE(RIGHT(SUBSTITUTE(Network_Connections[[#This Row],[from]],"_",REPT("*",10)),10),"*","")</f>
        <v>Banking</v>
      </c>
      <c r="C212" s="3" t="str">
        <f>INDEX(Assets[Asset_ID],MATCH(Network_Connections[[#This Row],[From1]],Assets[name],0))</f>
        <v>A00009</v>
      </c>
      <c r="D212" s="3" t="s">
        <v>152</v>
      </c>
      <c r="E212" s="3" t="str">
        <f xml:space="preserve"> SUBSTITUTE(RIGHT(SUBSTITUTE(Network_Connections[[#This Row],[to]],"_",REPT("*",10)),10),"*","")</f>
        <v>WS4</v>
      </c>
      <c r="F212" s="3" t="str">
        <f>INDEX(Assets[Asset_ID],MATCH(Network_Connections[[#This Row],[From2]],Assets[name],0))</f>
        <v>A00019</v>
      </c>
      <c r="G212" s="3" t="s">
        <v>145</v>
      </c>
      <c r="H212" s="3" t="s">
        <v>144</v>
      </c>
      <c r="I212" s="3">
        <v>0</v>
      </c>
      <c r="J21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2" s="3" t="str">
        <f>RIGHT(Network_Connections[[#This Row],[port/protocol]],LEN(Network_Connections[[#This Row],[port/protocol]])-FIND("/",Network_Connections[[#This Row],[port/protocol]]))</f>
        <v>0-65535</v>
      </c>
      <c r="L212" s="3">
        <f t="shared" si="4"/>
        <v>0</v>
      </c>
    </row>
    <row r="213" spans="1:12" x14ac:dyDescent="0.2">
      <c r="A213" s="3" t="s">
        <v>162</v>
      </c>
      <c r="B213" s="3" t="str">
        <f xml:space="preserve"> SUBSTITUTE(RIGHT(SUBSTITUTE(Network_Connections[[#This Row],[from]],"_",REPT("*",10)),10),"*","")</f>
        <v>Banking</v>
      </c>
      <c r="C213" s="3" t="str">
        <f>INDEX(Assets[Asset_ID],MATCH(Network_Connections[[#This Row],[From1]],Assets[name],0))</f>
        <v>A00009</v>
      </c>
      <c r="D213" s="3" t="s">
        <v>151</v>
      </c>
      <c r="E213" s="3" t="str">
        <f xml:space="preserve"> SUBSTITUTE(RIGHT(SUBSTITUTE(Network_Connections[[#This Row],[to]],"_",REPT("*",10)),10),"*","")</f>
        <v>FW4</v>
      </c>
      <c r="F213" s="3" t="str">
        <f>INDEX(Assets[Asset_ID],MATCH(Network_Connections[[#This Row],[From2]],Assets[name],0))</f>
        <v>A00020</v>
      </c>
      <c r="G213" s="3" t="s">
        <v>145</v>
      </c>
      <c r="H213" s="3" t="s">
        <v>144</v>
      </c>
      <c r="I213" s="3">
        <v>0</v>
      </c>
      <c r="J21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3" s="3" t="str">
        <f>RIGHT(Network_Connections[[#This Row],[port/protocol]],LEN(Network_Connections[[#This Row],[port/protocol]])-FIND("/",Network_Connections[[#This Row],[port/protocol]]))</f>
        <v>0-65535</v>
      </c>
      <c r="L213" s="3">
        <f t="shared" si="4"/>
        <v>0</v>
      </c>
    </row>
    <row r="214" spans="1:12" x14ac:dyDescent="0.2">
      <c r="A214" s="3" t="s">
        <v>162</v>
      </c>
      <c r="B214" s="3" t="str">
        <f xml:space="preserve"> SUBSTITUTE(RIGHT(SUBSTITUTE(Network_Connections[[#This Row],[from]],"_",REPT("*",10)),10),"*","")</f>
        <v>Banking</v>
      </c>
      <c r="C214" s="3" t="str">
        <f>INDEX(Assets[Asset_ID],MATCH(Network_Connections[[#This Row],[From1]],Assets[name],0))</f>
        <v>A00009</v>
      </c>
      <c r="D214" s="3" t="s">
        <v>150</v>
      </c>
      <c r="E214" s="3" t="str">
        <f xml:space="preserve"> SUBSTITUTE(RIGHT(SUBSTITUTE(Network_Connections[[#This Row],[to]],"_",REPT("*",10)),10),"*","")</f>
        <v>WIFI2</v>
      </c>
      <c r="F214" s="3" t="str">
        <f>INDEX(Assets[Asset_ID],MATCH(Network_Connections[[#This Row],[From2]],Assets[name],0))</f>
        <v>A00021</v>
      </c>
      <c r="G214" s="3" t="s">
        <v>145</v>
      </c>
      <c r="H214" s="3" t="s">
        <v>144</v>
      </c>
      <c r="I214" s="3">
        <v>0</v>
      </c>
      <c r="J21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4" s="3" t="str">
        <f>RIGHT(Network_Connections[[#This Row],[port/protocol]],LEN(Network_Connections[[#This Row],[port/protocol]])-FIND("/",Network_Connections[[#This Row],[port/protocol]]))</f>
        <v>0-65535</v>
      </c>
      <c r="L214" s="3">
        <f t="shared" si="4"/>
        <v>0</v>
      </c>
    </row>
    <row r="215" spans="1:12" x14ac:dyDescent="0.2">
      <c r="A215" s="3" t="s">
        <v>162</v>
      </c>
      <c r="B215" s="3" t="str">
        <f xml:space="preserve"> SUBSTITUTE(RIGHT(SUBSTITUTE(Network_Connections[[#This Row],[from]],"_",REPT("*",10)),10),"*","")</f>
        <v>Banking</v>
      </c>
      <c r="C215" s="3" t="str">
        <f>INDEX(Assets[Asset_ID],MATCH(Network_Connections[[#This Row],[From1]],Assets[name],0))</f>
        <v>A00009</v>
      </c>
      <c r="D215" s="3" t="s">
        <v>149</v>
      </c>
      <c r="E215" s="3" t="str">
        <f xml:space="preserve"> SUBSTITUTE(RIGHT(SUBSTITUTE(Network_Connections[[#This Row],[to]],"_",REPT("*",10)),10),"*","")</f>
        <v>WS5</v>
      </c>
      <c r="F215" s="3" t="str">
        <f>INDEX(Assets[Asset_ID],MATCH(Network_Connections[[#This Row],[From2]],Assets[name],0))</f>
        <v>A00022</v>
      </c>
      <c r="G215" s="3" t="s">
        <v>145</v>
      </c>
      <c r="H215" s="3" t="s">
        <v>144</v>
      </c>
      <c r="I215" s="3">
        <v>0</v>
      </c>
      <c r="J21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5" s="3" t="str">
        <f>RIGHT(Network_Connections[[#This Row],[port/protocol]],LEN(Network_Connections[[#This Row],[port/protocol]])-FIND("/",Network_Connections[[#This Row],[port/protocol]]))</f>
        <v>0-65535</v>
      </c>
      <c r="L215" s="3">
        <f t="shared" si="4"/>
        <v>0</v>
      </c>
    </row>
    <row r="216" spans="1:12" x14ac:dyDescent="0.2">
      <c r="A216" s="3" t="s">
        <v>162</v>
      </c>
      <c r="B216" s="3" t="str">
        <f xml:space="preserve"> SUBSTITUTE(RIGHT(SUBSTITUTE(Network_Connections[[#This Row],[from]],"_",REPT("*",10)),10),"*","")</f>
        <v>Banking</v>
      </c>
      <c r="C216" s="3" t="str">
        <f>INDEX(Assets[Asset_ID],MATCH(Network_Connections[[#This Row],[From1]],Assets[name],0))</f>
        <v>A00009</v>
      </c>
      <c r="D216" s="3" t="s">
        <v>148</v>
      </c>
      <c r="E216" s="3" t="str">
        <f xml:space="preserve"> SUBSTITUTE(RIGHT(SUBSTITUTE(Network_Connections[[#This Row],[to]],"_",REPT("*",10)),10),"*","")</f>
        <v>WS6</v>
      </c>
      <c r="F216" s="3" t="str">
        <f>INDEX(Assets[Asset_ID],MATCH(Network_Connections[[#This Row],[From2]],Assets[name],0))</f>
        <v>A00023</v>
      </c>
      <c r="G216" s="3" t="s">
        <v>145</v>
      </c>
      <c r="H216" s="3" t="s">
        <v>144</v>
      </c>
      <c r="I216" s="3">
        <v>0</v>
      </c>
      <c r="J21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6" s="3" t="str">
        <f>RIGHT(Network_Connections[[#This Row],[port/protocol]],LEN(Network_Connections[[#This Row],[port/protocol]])-FIND("/",Network_Connections[[#This Row],[port/protocol]]))</f>
        <v>0-65535</v>
      </c>
      <c r="L216" s="3">
        <f t="shared" si="4"/>
        <v>0</v>
      </c>
    </row>
    <row r="217" spans="1:12" x14ac:dyDescent="0.2">
      <c r="A217" s="3" t="s">
        <v>162</v>
      </c>
      <c r="B217" s="3" t="str">
        <f xml:space="preserve"> SUBSTITUTE(RIGHT(SUBSTITUTE(Network_Connections[[#This Row],[from]],"_",REPT("*",10)),10),"*","")</f>
        <v>Banking</v>
      </c>
      <c r="C217" s="3" t="str">
        <f>INDEX(Assets[Asset_ID],MATCH(Network_Connections[[#This Row],[From1]],Assets[name],0))</f>
        <v>A00009</v>
      </c>
      <c r="D217" s="3" t="s">
        <v>146</v>
      </c>
      <c r="E217" s="3" t="str">
        <f xml:space="preserve"> SUBSTITUTE(RIGHT(SUBSTITUTE(Network_Connections[[#This Row],[to]],"_",REPT("*",10)),10),"*","")</f>
        <v>WS7</v>
      </c>
      <c r="F217" s="3" t="str">
        <f>INDEX(Assets[Asset_ID],MATCH(Network_Connections[[#This Row],[From2]],Assets[name],0))</f>
        <v>A00024</v>
      </c>
      <c r="G217" s="3" t="s">
        <v>145</v>
      </c>
      <c r="H217" s="3" t="s">
        <v>144</v>
      </c>
      <c r="I217" s="3">
        <v>0</v>
      </c>
      <c r="J21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7" s="3" t="str">
        <f>RIGHT(Network_Connections[[#This Row],[port/protocol]],LEN(Network_Connections[[#This Row],[port/protocol]])-FIND("/",Network_Connections[[#This Row],[port/protocol]]))</f>
        <v>0-65535</v>
      </c>
      <c r="L217" s="3">
        <f t="shared" si="4"/>
        <v>0</v>
      </c>
    </row>
    <row r="218" spans="1:12" x14ac:dyDescent="0.2">
      <c r="A218" s="3" t="s">
        <v>162</v>
      </c>
      <c r="B218" s="3" t="str">
        <f xml:space="preserve"> SUBSTITUTE(RIGHT(SUBSTITUTE(Network_Connections[[#This Row],[from]],"_",REPT("*",10)),10),"*","")</f>
        <v>Banking</v>
      </c>
      <c r="C218" s="3" t="str">
        <f>INDEX(Assets[Asset_ID],MATCH(Network_Connections[[#This Row],[From1]],Assets[name],0))</f>
        <v>A00009</v>
      </c>
      <c r="D218" s="3" t="s">
        <v>147</v>
      </c>
      <c r="E218" s="3" t="str">
        <f xml:space="preserve"> SUBSTITUTE(RIGHT(SUBSTITUTE(Network_Connections[[#This Row],[to]],"_",REPT("*",10)),10),"*","")</f>
        <v>WS8</v>
      </c>
      <c r="F218" s="3" t="str">
        <f>INDEX(Assets[Asset_ID],MATCH(Network_Connections[[#This Row],[From2]],Assets[name],0))</f>
        <v>A00025</v>
      </c>
      <c r="G218" s="3" t="s">
        <v>145</v>
      </c>
      <c r="H218" s="3" t="s">
        <v>144</v>
      </c>
      <c r="I218" s="3">
        <v>0</v>
      </c>
      <c r="J21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8" s="3" t="str">
        <f>RIGHT(Network_Connections[[#This Row],[port/protocol]],LEN(Network_Connections[[#This Row],[port/protocol]])-FIND("/",Network_Connections[[#This Row],[port/protocol]]))</f>
        <v>0-65535</v>
      </c>
      <c r="L218" s="3">
        <f t="shared" si="4"/>
        <v>0</v>
      </c>
    </row>
    <row r="219" spans="1:12" x14ac:dyDescent="0.2">
      <c r="A219" s="3" t="s">
        <v>161</v>
      </c>
      <c r="B219" s="3" t="str">
        <f xml:space="preserve"> SUBSTITUTE(RIGHT(SUBSTITUTE(Network_Connections[[#This Row],[from]],"_",REPT("*",10)),10),"*","")</f>
        <v>Email</v>
      </c>
      <c r="C219" s="3" t="str">
        <f>INDEX(Assets[Asset_ID],MATCH(Network_Connections[[#This Row],[From1]],Assets[name],0))</f>
        <v>A00010</v>
      </c>
      <c r="D219" s="3" t="s">
        <v>171</v>
      </c>
      <c r="E219" s="3" t="str">
        <f xml:space="preserve"> SUBSTITUTE(RIGHT(SUBSTITUTE(Network_Connections[[#This Row],[to]],"_",REPT("*",10)),10),"*","")</f>
        <v>FW1</v>
      </c>
      <c r="F219" s="3" t="str">
        <f>INDEX(Assets[Asset_ID],MATCH(Network_Connections[[#This Row],[From2]],Assets[name],0))</f>
        <v>A00001</v>
      </c>
      <c r="G219" s="3" t="s">
        <v>145</v>
      </c>
      <c r="H219" s="3" t="s">
        <v>144</v>
      </c>
      <c r="I219" s="3">
        <v>0</v>
      </c>
      <c r="J21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19" s="3" t="str">
        <f>RIGHT(Network_Connections[[#This Row],[port/protocol]],LEN(Network_Connections[[#This Row],[port/protocol]])-FIND("/",Network_Connections[[#This Row],[port/protocol]]))</f>
        <v>0-65535</v>
      </c>
      <c r="L219" s="3">
        <f t="shared" si="4"/>
        <v>0</v>
      </c>
    </row>
    <row r="220" spans="1:12" x14ac:dyDescent="0.2">
      <c r="A220" s="3" t="s">
        <v>161</v>
      </c>
      <c r="B220" s="3" t="str">
        <f xml:space="preserve"> SUBSTITUTE(RIGHT(SUBSTITUTE(Network_Connections[[#This Row],[from]],"_",REPT("*",10)),10),"*","")</f>
        <v>Email</v>
      </c>
      <c r="C220" s="3" t="str">
        <f>INDEX(Assets[Asset_ID],MATCH(Network_Connections[[#This Row],[From1]],Assets[name],0))</f>
        <v>A00010</v>
      </c>
      <c r="D220" s="3" t="s">
        <v>170</v>
      </c>
      <c r="E220" s="3" t="str">
        <f xml:space="preserve"> SUBSTITUTE(RIGHT(SUBSTITUTE(Network_Connections[[#This Row],[to]],"_",REPT("*",10)),10),"*","")</f>
        <v>VPNSRV</v>
      </c>
      <c r="F220" s="3" t="str">
        <f>INDEX(Assets[Asset_ID],MATCH(Network_Connections[[#This Row],[From2]],Assets[name],0))</f>
        <v>A00002</v>
      </c>
      <c r="G220" s="3" t="s">
        <v>145</v>
      </c>
      <c r="H220" s="3" t="s">
        <v>144</v>
      </c>
      <c r="I220" s="3">
        <v>0</v>
      </c>
      <c r="J22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20" s="3" t="str">
        <f>RIGHT(Network_Connections[[#This Row],[port/protocol]],LEN(Network_Connections[[#This Row],[port/protocol]])-FIND("/",Network_Connections[[#This Row],[port/protocol]]))</f>
        <v>0-65535</v>
      </c>
      <c r="L220" s="3">
        <f t="shared" si="4"/>
        <v>0</v>
      </c>
    </row>
    <row r="221" spans="1:12" x14ac:dyDescent="0.2">
      <c r="A221" s="3" t="s">
        <v>161</v>
      </c>
      <c r="B221" s="3" t="str">
        <f xml:space="preserve"> SUBSTITUTE(RIGHT(SUBSTITUTE(Network_Connections[[#This Row],[from]],"_",REPT("*",10)),10),"*","")</f>
        <v>Email</v>
      </c>
      <c r="C221" s="3" t="str">
        <f>INDEX(Assets[Asset_ID],MATCH(Network_Connections[[#This Row],[From1]],Assets[name],0))</f>
        <v>A00010</v>
      </c>
      <c r="D221" s="3" t="s">
        <v>169</v>
      </c>
      <c r="E221" s="3" t="str">
        <f xml:space="preserve"> SUBSTITUTE(RIGHT(SUBSTITUTE(Network_Connections[[#This Row],[to]],"_",REPT("*",10)),10),"*","")</f>
        <v>WebSRV1</v>
      </c>
      <c r="F221" s="3" t="str">
        <f>INDEX(Assets[Asset_ID],MATCH(Network_Connections[[#This Row],[From2]],Assets[name],0))</f>
        <v>A00003</v>
      </c>
      <c r="G221" s="3" t="s">
        <v>145</v>
      </c>
      <c r="H221" s="3" t="s">
        <v>144</v>
      </c>
      <c r="I221" s="3">
        <v>0</v>
      </c>
      <c r="J22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21" s="3" t="str">
        <f>RIGHT(Network_Connections[[#This Row],[port/protocol]],LEN(Network_Connections[[#This Row],[port/protocol]])-FIND("/",Network_Connections[[#This Row],[port/protocol]]))</f>
        <v>0-65535</v>
      </c>
      <c r="L221" s="3">
        <f t="shared" si="4"/>
        <v>0</v>
      </c>
    </row>
    <row r="222" spans="1:12" x14ac:dyDescent="0.2">
      <c r="A222" s="3" t="s">
        <v>161</v>
      </c>
      <c r="B222" s="3" t="str">
        <f xml:space="preserve"> SUBSTITUTE(RIGHT(SUBSTITUTE(Network_Connections[[#This Row],[from]],"_",REPT("*",10)),10),"*","")</f>
        <v>Email</v>
      </c>
      <c r="C222" s="3" t="str">
        <f>INDEX(Assets[Asset_ID],MATCH(Network_Connections[[#This Row],[From1]],Assets[name],0))</f>
        <v>A00010</v>
      </c>
      <c r="D222" s="3" t="s">
        <v>168</v>
      </c>
      <c r="E222" s="3" t="str">
        <f xml:space="preserve"> SUBSTITUTE(RIGHT(SUBSTITUTE(Network_Connections[[#This Row],[to]],"_",REPT("*",10)),10),"*","")</f>
        <v>WebSRV2</v>
      </c>
      <c r="F222" s="3" t="str">
        <f>INDEX(Assets[Asset_ID],MATCH(Network_Connections[[#This Row],[From2]],Assets[name],0))</f>
        <v>A00004</v>
      </c>
      <c r="G222" s="3" t="s">
        <v>145</v>
      </c>
      <c r="H222" s="3" t="s">
        <v>144</v>
      </c>
      <c r="I222" s="3">
        <v>0</v>
      </c>
      <c r="J22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22" s="3" t="str">
        <f>RIGHT(Network_Connections[[#This Row],[port/protocol]],LEN(Network_Connections[[#This Row],[port/protocol]])-FIND("/",Network_Connections[[#This Row],[port/protocol]]))</f>
        <v>0-65535</v>
      </c>
      <c r="L222" s="3">
        <f t="shared" si="4"/>
        <v>0</v>
      </c>
    </row>
    <row r="223" spans="1:12" x14ac:dyDescent="0.2">
      <c r="A223" s="3" t="s">
        <v>161</v>
      </c>
      <c r="B223" s="3" t="str">
        <f xml:space="preserve"> SUBSTITUTE(RIGHT(SUBSTITUTE(Network_Connections[[#This Row],[from]],"_",REPT("*",10)),10),"*","")</f>
        <v>Email</v>
      </c>
      <c r="C223" s="3" t="str">
        <f>INDEX(Assets[Asset_ID],MATCH(Network_Connections[[#This Row],[From1]],Assets[name],0))</f>
        <v>A00010</v>
      </c>
      <c r="D223" s="3" t="s">
        <v>166</v>
      </c>
      <c r="E223" s="3" t="str">
        <f xml:space="preserve"> SUBSTITUTE(RIGHT(SUBSTITUTE(Network_Connections[[#This Row],[to]],"_",REPT("*",10)),10),"*","")</f>
        <v>FW2</v>
      </c>
      <c r="F223" s="3" t="str">
        <f>INDEX(Assets[Asset_ID],MATCH(Network_Connections[[#This Row],[From2]],Assets[name],0))</f>
        <v>A00005</v>
      </c>
      <c r="G223" s="3" t="s">
        <v>145</v>
      </c>
      <c r="H223" s="3" t="s">
        <v>144</v>
      </c>
      <c r="I223" s="3">
        <v>0</v>
      </c>
      <c r="J22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23" s="3" t="str">
        <f>RIGHT(Network_Connections[[#This Row],[port/protocol]],LEN(Network_Connections[[#This Row],[port/protocol]])-FIND("/",Network_Connections[[#This Row],[port/protocol]]))</f>
        <v>0-65535</v>
      </c>
      <c r="L223" s="3">
        <f t="shared" si="4"/>
        <v>0</v>
      </c>
    </row>
    <row r="224" spans="1:12" x14ac:dyDescent="0.2">
      <c r="A224" s="3" t="s">
        <v>161</v>
      </c>
      <c r="B224" s="3" t="str">
        <f xml:space="preserve"> SUBSTITUTE(RIGHT(SUBSTITUTE(Network_Connections[[#This Row],[from]],"_",REPT("*",10)),10),"*","")</f>
        <v>Email</v>
      </c>
      <c r="C224" s="3" t="str">
        <f>INDEX(Assets[Asset_ID],MATCH(Network_Connections[[#This Row],[From1]],Assets[name],0))</f>
        <v>A00010</v>
      </c>
      <c r="D224" s="3" t="s">
        <v>165</v>
      </c>
      <c r="E224" s="3" t="str">
        <f xml:space="preserve"> SUBSTITUTE(RIGHT(SUBSTITUTE(Network_Connections[[#This Row],[to]],"_",REPT("*",10)),10),"*","")</f>
        <v>SW1</v>
      </c>
      <c r="F224" s="3" t="str">
        <f>INDEX(Assets[Asset_ID],MATCH(Network_Connections[[#This Row],[From2]],Assets[name],0))</f>
        <v>A00006</v>
      </c>
      <c r="G224" s="3" t="s">
        <v>145</v>
      </c>
      <c r="H224" s="3" t="s">
        <v>144</v>
      </c>
      <c r="I224" s="3">
        <v>1</v>
      </c>
      <c r="J22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"A00010"-&gt;"A00006"@00:("IP", "0-65535");</v>
      </c>
      <c r="K224" s="3" t="str">
        <f>RIGHT(Network_Connections[[#This Row],[port/protocol]],LEN(Network_Connections[[#This Row],[port/protocol]])-FIND("/",Network_Connections[[#This Row],[port/protocol]]))</f>
        <v>0-65535</v>
      </c>
      <c r="L224" s="3">
        <f t="shared" si="4"/>
        <v>0</v>
      </c>
    </row>
    <row r="225" spans="1:12" x14ac:dyDescent="0.2">
      <c r="A225" s="3" t="s">
        <v>161</v>
      </c>
      <c r="B225" s="3" t="str">
        <f xml:space="preserve"> SUBSTITUTE(RIGHT(SUBSTITUTE(Network_Connections[[#This Row],[from]],"_",REPT("*",10)),10),"*","")</f>
        <v>Email</v>
      </c>
      <c r="C225" s="3" t="str">
        <f>INDEX(Assets[Asset_ID],MATCH(Network_Connections[[#This Row],[From1]],Assets[name],0))</f>
        <v>A00010</v>
      </c>
      <c r="D225" s="3" t="s">
        <v>164</v>
      </c>
      <c r="E225" s="3" t="str">
        <f xml:space="preserve"> SUBSTITUTE(RIGHT(SUBSTITUTE(Network_Connections[[#This Row],[to]],"_",REPT("*",10)),10),"*","")</f>
        <v>AD</v>
      </c>
      <c r="F225" s="3" t="str">
        <f>INDEX(Assets[Asset_ID],MATCH(Network_Connections[[#This Row],[From2]],Assets[name],0))</f>
        <v>A00007</v>
      </c>
      <c r="G225" s="3" t="s">
        <v>145</v>
      </c>
      <c r="H225" s="3" t="s">
        <v>144</v>
      </c>
      <c r="I225" s="3">
        <v>1</v>
      </c>
      <c r="J22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"A00010"-&gt;"A00007"@00:("IP", "0-65535");</v>
      </c>
      <c r="K225" s="3" t="str">
        <f>RIGHT(Network_Connections[[#This Row],[port/protocol]],LEN(Network_Connections[[#This Row],[port/protocol]])-FIND("/",Network_Connections[[#This Row],[port/protocol]]))</f>
        <v>0-65535</v>
      </c>
      <c r="L225" s="3">
        <f t="shared" si="4"/>
        <v>0</v>
      </c>
    </row>
    <row r="226" spans="1:12" x14ac:dyDescent="0.2">
      <c r="A226" s="3" t="s">
        <v>161</v>
      </c>
      <c r="B226" s="3" t="str">
        <f xml:space="preserve"> SUBSTITUTE(RIGHT(SUBSTITUTE(Network_Connections[[#This Row],[from]],"_",REPT("*",10)),10),"*","")</f>
        <v>Email</v>
      </c>
      <c r="C226" s="3" t="str">
        <f>INDEX(Assets[Asset_ID],MATCH(Network_Connections[[#This Row],[From1]],Assets[name],0))</f>
        <v>A00010</v>
      </c>
      <c r="D226" s="3" t="s">
        <v>163</v>
      </c>
      <c r="E226" s="3" t="str">
        <f xml:space="preserve"> SUBSTITUTE(RIGHT(SUBSTITUTE(Network_Connections[[#This Row],[to]],"_",REPT("*",10)),10),"*","")</f>
        <v>ERP</v>
      </c>
      <c r="F226" s="3" t="str">
        <f>INDEX(Assets[Asset_ID],MATCH(Network_Connections[[#This Row],[From2]],Assets[name],0))</f>
        <v>A00008</v>
      </c>
      <c r="G226" s="3" t="s">
        <v>145</v>
      </c>
      <c r="H226" s="3" t="s">
        <v>144</v>
      </c>
      <c r="I226" s="3">
        <v>1</v>
      </c>
      <c r="J22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"A00010"-&gt;"A00008"@00:("IP", "0-65535");</v>
      </c>
      <c r="K226" s="3" t="str">
        <f>RIGHT(Network_Connections[[#This Row],[port/protocol]],LEN(Network_Connections[[#This Row],[port/protocol]])-FIND("/",Network_Connections[[#This Row],[port/protocol]]))</f>
        <v>0-65535</v>
      </c>
      <c r="L226" s="3">
        <f t="shared" si="4"/>
        <v>0</v>
      </c>
    </row>
    <row r="227" spans="1:12" x14ac:dyDescent="0.2">
      <c r="A227" s="3" t="s">
        <v>161</v>
      </c>
      <c r="B227" s="3" t="str">
        <f xml:space="preserve"> SUBSTITUTE(RIGHT(SUBSTITUTE(Network_Connections[[#This Row],[from]],"_",REPT("*",10)),10),"*","")</f>
        <v>Email</v>
      </c>
      <c r="C227" s="3" t="str">
        <f>INDEX(Assets[Asset_ID],MATCH(Network_Connections[[#This Row],[From1]],Assets[name],0))</f>
        <v>A00010</v>
      </c>
      <c r="D227" s="3" t="s">
        <v>162</v>
      </c>
      <c r="E227" s="3" t="str">
        <f xml:space="preserve"> SUBSTITUTE(RIGHT(SUBSTITUTE(Network_Connections[[#This Row],[to]],"_",REPT("*",10)),10),"*","")</f>
        <v>Banking</v>
      </c>
      <c r="F227" s="3" t="str">
        <f>INDEX(Assets[Asset_ID],MATCH(Network_Connections[[#This Row],[From2]],Assets[name],0))</f>
        <v>A00009</v>
      </c>
      <c r="G227" s="3" t="s">
        <v>145</v>
      </c>
      <c r="H227" s="3" t="s">
        <v>144</v>
      </c>
      <c r="I227" s="3">
        <v>0</v>
      </c>
      <c r="J22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27" s="3" t="str">
        <f>RIGHT(Network_Connections[[#This Row],[port/protocol]],LEN(Network_Connections[[#This Row],[port/protocol]])-FIND("/",Network_Connections[[#This Row],[port/protocol]]))</f>
        <v>0-65535</v>
      </c>
      <c r="L227" s="3">
        <f t="shared" si="4"/>
        <v>0</v>
      </c>
    </row>
    <row r="228" spans="1:12" x14ac:dyDescent="0.2">
      <c r="A228" s="3" t="s">
        <v>161</v>
      </c>
      <c r="B228" s="3" t="str">
        <f xml:space="preserve"> SUBSTITUTE(RIGHT(SUBSTITUTE(Network_Connections[[#This Row],[from]],"_",REPT("*",10)),10),"*","")</f>
        <v>Email</v>
      </c>
      <c r="C228" s="3" t="str">
        <f>INDEX(Assets[Asset_ID],MATCH(Network_Connections[[#This Row],[From1]],Assets[name],0))</f>
        <v>A00010</v>
      </c>
      <c r="D228" s="3" t="s">
        <v>160</v>
      </c>
      <c r="E228" s="3" t="str">
        <f xml:space="preserve"> SUBSTITUTE(RIGHT(SUBSTITUTE(Network_Connections[[#This Row],[to]],"_",REPT("*",10)),10),"*","")</f>
        <v>WMS</v>
      </c>
      <c r="F228" s="3" t="str">
        <f>INDEX(Assets[Asset_ID],MATCH(Network_Connections[[#This Row],[From2]],Assets[name],0))</f>
        <v>A00011</v>
      </c>
      <c r="G228" s="3" t="s">
        <v>145</v>
      </c>
      <c r="H228" s="3" t="s">
        <v>144</v>
      </c>
      <c r="I228" s="3">
        <v>1</v>
      </c>
      <c r="J22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"A00010"-&gt;"A00011"@00:("IP", "0-65535");</v>
      </c>
      <c r="K228" s="3" t="str">
        <f>RIGHT(Network_Connections[[#This Row],[port/protocol]],LEN(Network_Connections[[#This Row],[port/protocol]])-FIND("/",Network_Connections[[#This Row],[port/protocol]]))</f>
        <v>0-65535</v>
      </c>
      <c r="L228" s="3">
        <f t="shared" si="4"/>
        <v>0</v>
      </c>
    </row>
    <row r="229" spans="1:12" x14ac:dyDescent="0.2">
      <c r="A229" s="3" t="s">
        <v>161</v>
      </c>
      <c r="B229" s="3" t="str">
        <f xml:space="preserve"> SUBSTITUTE(RIGHT(SUBSTITUTE(Network_Connections[[#This Row],[from]],"_",REPT("*",10)),10),"*","")</f>
        <v>Email</v>
      </c>
      <c r="C229" s="3" t="str">
        <f>INDEX(Assets[Asset_ID],MATCH(Network_Connections[[#This Row],[From1]],Assets[name],0))</f>
        <v>A00010</v>
      </c>
      <c r="D229" s="3" t="s">
        <v>159</v>
      </c>
      <c r="E229" s="3" t="str">
        <f xml:space="preserve"> SUBSTITUTE(RIGHT(SUBSTITUTE(Network_Connections[[#This Row],[to]],"_",REPT("*",10)),10),"*","")</f>
        <v>CRM</v>
      </c>
      <c r="F229" s="3" t="str">
        <f>INDEX(Assets[Asset_ID],MATCH(Network_Connections[[#This Row],[From2]],Assets[name],0))</f>
        <v>A00012</v>
      </c>
      <c r="G229" s="3" t="s">
        <v>145</v>
      </c>
      <c r="H229" s="3" t="s">
        <v>144</v>
      </c>
      <c r="I229" s="3">
        <v>1</v>
      </c>
      <c r="J22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"A00010"-&gt;"A00012"@00:("IP", "0-65535");</v>
      </c>
      <c r="K229" s="3" t="str">
        <f>RIGHT(Network_Connections[[#This Row],[port/protocol]],LEN(Network_Connections[[#This Row],[port/protocol]])-FIND("/",Network_Connections[[#This Row],[port/protocol]]))</f>
        <v>0-65535</v>
      </c>
      <c r="L229" s="3">
        <f t="shared" si="4"/>
        <v>0</v>
      </c>
    </row>
    <row r="230" spans="1:12" x14ac:dyDescent="0.2">
      <c r="A230" s="3" t="s">
        <v>161</v>
      </c>
      <c r="B230" s="3" t="str">
        <f xml:space="preserve"> SUBSTITUTE(RIGHT(SUBSTITUTE(Network_Connections[[#This Row],[from]],"_",REPT("*",10)),10),"*","")</f>
        <v>Email</v>
      </c>
      <c r="C230" s="3" t="str">
        <f>INDEX(Assets[Asset_ID],MATCH(Network_Connections[[#This Row],[From1]],Assets[name],0))</f>
        <v>A00010</v>
      </c>
      <c r="D230" s="3" t="s">
        <v>158</v>
      </c>
      <c r="E230" s="3" t="str">
        <f xml:space="preserve"> SUBSTITUTE(RIGHT(SUBSTITUTE(Network_Connections[[#This Row],[to]],"_",REPT("*",10)),10),"*","")</f>
        <v>WIFI1</v>
      </c>
      <c r="F230" s="3" t="str">
        <f>INDEX(Assets[Asset_ID],MATCH(Network_Connections[[#This Row],[From2]],Assets[name],0))</f>
        <v>A00013</v>
      </c>
      <c r="G230" s="3" t="s">
        <v>145</v>
      </c>
      <c r="H230" s="3" t="s">
        <v>144</v>
      </c>
      <c r="I230" s="3">
        <v>0</v>
      </c>
      <c r="J23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0" s="3" t="str">
        <f>RIGHT(Network_Connections[[#This Row],[port/protocol]],LEN(Network_Connections[[#This Row],[port/protocol]])-FIND("/",Network_Connections[[#This Row],[port/protocol]]))</f>
        <v>0-65535</v>
      </c>
      <c r="L230" s="3">
        <f t="shared" si="4"/>
        <v>0</v>
      </c>
    </row>
    <row r="231" spans="1:12" x14ac:dyDescent="0.2">
      <c r="A231" s="3" t="s">
        <v>161</v>
      </c>
      <c r="B231" s="3" t="str">
        <f xml:space="preserve"> SUBSTITUTE(RIGHT(SUBSTITUTE(Network_Connections[[#This Row],[from]],"_",REPT("*",10)),10),"*","")</f>
        <v>Email</v>
      </c>
      <c r="C231" s="3" t="str">
        <f>INDEX(Assets[Asset_ID],MATCH(Network_Connections[[#This Row],[From1]],Assets[name],0))</f>
        <v>A00010</v>
      </c>
      <c r="D231" s="3" t="s">
        <v>157</v>
      </c>
      <c r="E231" s="3" t="str">
        <f xml:space="preserve"> SUBSTITUTE(RIGHT(SUBSTITUTE(Network_Connections[[#This Row],[to]],"_",REPT("*",10)),10),"*","")</f>
        <v>WS1</v>
      </c>
      <c r="F231" s="3" t="str">
        <f>INDEX(Assets[Asset_ID],MATCH(Network_Connections[[#This Row],[From2]],Assets[name],0))</f>
        <v>A00014</v>
      </c>
      <c r="G231" s="3" t="s">
        <v>145</v>
      </c>
      <c r="H231" s="3" t="s">
        <v>144</v>
      </c>
      <c r="I231" s="3">
        <v>0</v>
      </c>
      <c r="J23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1" s="3" t="str">
        <f>RIGHT(Network_Connections[[#This Row],[port/protocol]],LEN(Network_Connections[[#This Row],[port/protocol]])-FIND("/",Network_Connections[[#This Row],[port/protocol]]))</f>
        <v>0-65535</v>
      </c>
      <c r="L231" s="3">
        <f t="shared" si="4"/>
        <v>0</v>
      </c>
    </row>
    <row r="232" spans="1:12" x14ac:dyDescent="0.2">
      <c r="A232" s="3" t="s">
        <v>161</v>
      </c>
      <c r="B232" s="3" t="str">
        <f xml:space="preserve"> SUBSTITUTE(RIGHT(SUBSTITUTE(Network_Connections[[#This Row],[from]],"_",REPT("*",10)),10),"*","")</f>
        <v>Email</v>
      </c>
      <c r="C232" s="3" t="str">
        <f>INDEX(Assets[Asset_ID],MATCH(Network_Connections[[#This Row],[From1]],Assets[name],0))</f>
        <v>A00010</v>
      </c>
      <c r="D232" s="3" t="s">
        <v>156</v>
      </c>
      <c r="E232" s="3" t="str">
        <f xml:space="preserve"> SUBSTITUTE(RIGHT(SUBSTITUTE(Network_Connections[[#This Row],[to]],"_",REPT("*",10)),10),"*","")</f>
        <v>FW3</v>
      </c>
      <c r="F232" s="3" t="str">
        <f>INDEX(Assets[Asset_ID],MATCH(Network_Connections[[#This Row],[From2]],Assets[name],0))</f>
        <v>A00015</v>
      </c>
      <c r="G232" s="3" t="s">
        <v>145</v>
      </c>
      <c r="H232" s="3" t="s">
        <v>144</v>
      </c>
      <c r="I232" s="3">
        <v>0</v>
      </c>
      <c r="J23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2" s="3" t="str">
        <f>RIGHT(Network_Connections[[#This Row],[port/protocol]],LEN(Network_Connections[[#This Row],[port/protocol]])-FIND("/",Network_Connections[[#This Row],[port/protocol]]))</f>
        <v>0-65535</v>
      </c>
      <c r="L232" s="3">
        <f t="shared" si="4"/>
        <v>0</v>
      </c>
    </row>
    <row r="233" spans="1:12" x14ac:dyDescent="0.2">
      <c r="A233" s="3" t="s">
        <v>161</v>
      </c>
      <c r="B233" s="3" t="str">
        <f xml:space="preserve"> SUBSTITUTE(RIGHT(SUBSTITUTE(Network_Connections[[#This Row],[from]],"_",REPT("*",10)),10),"*","")</f>
        <v>Email</v>
      </c>
      <c r="C233" s="3" t="str">
        <f>INDEX(Assets[Asset_ID],MATCH(Network_Connections[[#This Row],[From1]],Assets[name],0))</f>
        <v>A00010</v>
      </c>
      <c r="D233" s="3" t="s">
        <v>155</v>
      </c>
      <c r="E233" s="3" t="str">
        <f xml:space="preserve"> SUBSTITUTE(RIGHT(SUBSTITUTE(Network_Connections[[#This Row],[to]],"_",REPT("*",10)),10),"*","")</f>
        <v>SW2</v>
      </c>
      <c r="F233" s="3" t="str">
        <f>INDEX(Assets[Asset_ID],MATCH(Network_Connections[[#This Row],[From2]],Assets[name],0))</f>
        <v>A00016</v>
      </c>
      <c r="G233" s="3" t="s">
        <v>145</v>
      </c>
      <c r="H233" s="3" t="s">
        <v>144</v>
      </c>
      <c r="I233" s="3">
        <v>0</v>
      </c>
      <c r="J23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3" s="3" t="str">
        <f>RIGHT(Network_Connections[[#This Row],[port/protocol]],LEN(Network_Connections[[#This Row],[port/protocol]])-FIND("/",Network_Connections[[#This Row],[port/protocol]]))</f>
        <v>0-65535</v>
      </c>
      <c r="L233" s="3">
        <f t="shared" si="4"/>
        <v>0</v>
      </c>
    </row>
    <row r="234" spans="1:12" x14ac:dyDescent="0.2">
      <c r="A234" s="3" t="s">
        <v>161</v>
      </c>
      <c r="B234" s="3" t="str">
        <f xml:space="preserve"> SUBSTITUTE(RIGHT(SUBSTITUTE(Network_Connections[[#This Row],[from]],"_",REPT("*",10)),10),"*","")</f>
        <v>Email</v>
      </c>
      <c r="C234" s="3" t="str">
        <f>INDEX(Assets[Asset_ID],MATCH(Network_Connections[[#This Row],[From1]],Assets[name],0))</f>
        <v>A00010</v>
      </c>
      <c r="D234" s="3" t="s">
        <v>154</v>
      </c>
      <c r="E234" s="3" t="str">
        <f xml:space="preserve"> SUBSTITUTE(RIGHT(SUBSTITUTE(Network_Connections[[#This Row],[to]],"_",REPT("*",10)),10),"*","")</f>
        <v>WS2</v>
      </c>
      <c r="F234" s="3" t="str">
        <f>INDEX(Assets[Asset_ID],MATCH(Network_Connections[[#This Row],[From2]],Assets[name],0))</f>
        <v>A00017</v>
      </c>
      <c r="G234" s="3" t="s">
        <v>145</v>
      </c>
      <c r="H234" s="3" t="s">
        <v>144</v>
      </c>
      <c r="I234" s="3">
        <v>0</v>
      </c>
      <c r="J23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4" s="3" t="str">
        <f>RIGHT(Network_Connections[[#This Row],[port/protocol]],LEN(Network_Connections[[#This Row],[port/protocol]])-FIND("/",Network_Connections[[#This Row],[port/protocol]]))</f>
        <v>0-65535</v>
      </c>
      <c r="L234" s="3">
        <f t="shared" si="4"/>
        <v>0</v>
      </c>
    </row>
    <row r="235" spans="1:12" x14ac:dyDescent="0.2">
      <c r="A235" s="3" t="s">
        <v>161</v>
      </c>
      <c r="B235" s="3" t="str">
        <f xml:space="preserve"> SUBSTITUTE(RIGHT(SUBSTITUTE(Network_Connections[[#This Row],[from]],"_",REPT("*",10)),10),"*","")</f>
        <v>Email</v>
      </c>
      <c r="C235" s="3" t="str">
        <f>INDEX(Assets[Asset_ID],MATCH(Network_Connections[[#This Row],[From1]],Assets[name],0))</f>
        <v>A00010</v>
      </c>
      <c r="D235" s="3" t="s">
        <v>153</v>
      </c>
      <c r="E235" s="3" t="str">
        <f xml:space="preserve"> SUBSTITUTE(RIGHT(SUBSTITUTE(Network_Connections[[#This Row],[to]],"_",REPT("*",10)),10),"*","")</f>
        <v>WS3</v>
      </c>
      <c r="F235" s="3" t="str">
        <f>INDEX(Assets[Asset_ID],MATCH(Network_Connections[[#This Row],[From2]],Assets[name],0))</f>
        <v>A00018</v>
      </c>
      <c r="G235" s="3" t="s">
        <v>145</v>
      </c>
      <c r="H235" s="3" t="s">
        <v>144</v>
      </c>
      <c r="I235" s="3">
        <v>0</v>
      </c>
      <c r="J23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5" s="3" t="str">
        <f>RIGHT(Network_Connections[[#This Row],[port/protocol]],LEN(Network_Connections[[#This Row],[port/protocol]])-FIND("/",Network_Connections[[#This Row],[port/protocol]]))</f>
        <v>0-65535</v>
      </c>
      <c r="L235" s="3">
        <f t="shared" si="4"/>
        <v>0</v>
      </c>
    </row>
    <row r="236" spans="1:12" x14ac:dyDescent="0.2">
      <c r="A236" s="3" t="s">
        <v>161</v>
      </c>
      <c r="B236" s="3" t="str">
        <f xml:space="preserve"> SUBSTITUTE(RIGHT(SUBSTITUTE(Network_Connections[[#This Row],[from]],"_",REPT("*",10)),10),"*","")</f>
        <v>Email</v>
      </c>
      <c r="C236" s="3" t="str">
        <f>INDEX(Assets[Asset_ID],MATCH(Network_Connections[[#This Row],[From1]],Assets[name],0))</f>
        <v>A00010</v>
      </c>
      <c r="D236" s="3" t="s">
        <v>152</v>
      </c>
      <c r="E236" s="3" t="str">
        <f xml:space="preserve"> SUBSTITUTE(RIGHT(SUBSTITUTE(Network_Connections[[#This Row],[to]],"_",REPT("*",10)),10),"*","")</f>
        <v>WS4</v>
      </c>
      <c r="F236" s="3" t="str">
        <f>INDEX(Assets[Asset_ID],MATCH(Network_Connections[[#This Row],[From2]],Assets[name],0))</f>
        <v>A00019</v>
      </c>
      <c r="G236" s="3" t="s">
        <v>145</v>
      </c>
      <c r="H236" s="3" t="s">
        <v>144</v>
      </c>
      <c r="I236" s="3">
        <v>0</v>
      </c>
      <c r="J23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6" s="3" t="str">
        <f>RIGHT(Network_Connections[[#This Row],[port/protocol]],LEN(Network_Connections[[#This Row],[port/protocol]])-FIND("/",Network_Connections[[#This Row],[port/protocol]]))</f>
        <v>0-65535</v>
      </c>
      <c r="L236" s="3">
        <f t="shared" si="4"/>
        <v>0</v>
      </c>
    </row>
    <row r="237" spans="1:12" x14ac:dyDescent="0.2">
      <c r="A237" s="3" t="s">
        <v>161</v>
      </c>
      <c r="B237" s="3" t="str">
        <f xml:space="preserve"> SUBSTITUTE(RIGHT(SUBSTITUTE(Network_Connections[[#This Row],[from]],"_",REPT("*",10)),10),"*","")</f>
        <v>Email</v>
      </c>
      <c r="C237" s="3" t="str">
        <f>INDEX(Assets[Asset_ID],MATCH(Network_Connections[[#This Row],[From1]],Assets[name],0))</f>
        <v>A00010</v>
      </c>
      <c r="D237" s="3" t="s">
        <v>151</v>
      </c>
      <c r="E237" s="3" t="str">
        <f xml:space="preserve"> SUBSTITUTE(RIGHT(SUBSTITUTE(Network_Connections[[#This Row],[to]],"_",REPT("*",10)),10),"*","")</f>
        <v>FW4</v>
      </c>
      <c r="F237" s="3" t="str">
        <f>INDEX(Assets[Asset_ID],MATCH(Network_Connections[[#This Row],[From2]],Assets[name],0))</f>
        <v>A00020</v>
      </c>
      <c r="G237" s="3" t="s">
        <v>145</v>
      </c>
      <c r="H237" s="3" t="s">
        <v>144</v>
      </c>
      <c r="I237" s="3">
        <v>0</v>
      </c>
      <c r="J23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7" s="3" t="str">
        <f>RIGHT(Network_Connections[[#This Row],[port/protocol]],LEN(Network_Connections[[#This Row],[port/protocol]])-FIND("/",Network_Connections[[#This Row],[port/protocol]]))</f>
        <v>0-65535</v>
      </c>
      <c r="L237" s="3">
        <f t="shared" si="4"/>
        <v>0</v>
      </c>
    </row>
    <row r="238" spans="1:12" x14ac:dyDescent="0.2">
      <c r="A238" s="3" t="s">
        <v>161</v>
      </c>
      <c r="B238" s="3" t="str">
        <f xml:space="preserve"> SUBSTITUTE(RIGHT(SUBSTITUTE(Network_Connections[[#This Row],[from]],"_",REPT("*",10)),10),"*","")</f>
        <v>Email</v>
      </c>
      <c r="C238" s="3" t="str">
        <f>INDEX(Assets[Asset_ID],MATCH(Network_Connections[[#This Row],[From1]],Assets[name],0))</f>
        <v>A00010</v>
      </c>
      <c r="D238" s="3" t="s">
        <v>150</v>
      </c>
      <c r="E238" s="3" t="str">
        <f xml:space="preserve"> SUBSTITUTE(RIGHT(SUBSTITUTE(Network_Connections[[#This Row],[to]],"_",REPT("*",10)),10),"*","")</f>
        <v>WIFI2</v>
      </c>
      <c r="F238" s="3" t="str">
        <f>INDEX(Assets[Asset_ID],MATCH(Network_Connections[[#This Row],[From2]],Assets[name],0))</f>
        <v>A00021</v>
      </c>
      <c r="G238" s="3" t="s">
        <v>145</v>
      </c>
      <c r="H238" s="3" t="s">
        <v>144</v>
      </c>
      <c r="I238" s="3">
        <v>0</v>
      </c>
      <c r="J23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8" s="3" t="str">
        <f>RIGHT(Network_Connections[[#This Row],[port/protocol]],LEN(Network_Connections[[#This Row],[port/protocol]])-FIND("/",Network_Connections[[#This Row],[port/protocol]]))</f>
        <v>0-65535</v>
      </c>
      <c r="L238" s="3">
        <f t="shared" si="4"/>
        <v>0</v>
      </c>
    </row>
    <row r="239" spans="1:12" x14ac:dyDescent="0.2">
      <c r="A239" s="3" t="s">
        <v>161</v>
      </c>
      <c r="B239" s="3" t="str">
        <f xml:space="preserve"> SUBSTITUTE(RIGHT(SUBSTITUTE(Network_Connections[[#This Row],[from]],"_",REPT("*",10)),10),"*","")</f>
        <v>Email</v>
      </c>
      <c r="C239" s="3" t="str">
        <f>INDEX(Assets[Asset_ID],MATCH(Network_Connections[[#This Row],[From1]],Assets[name],0))</f>
        <v>A00010</v>
      </c>
      <c r="D239" s="3" t="s">
        <v>149</v>
      </c>
      <c r="E239" s="3" t="str">
        <f xml:space="preserve"> SUBSTITUTE(RIGHT(SUBSTITUTE(Network_Connections[[#This Row],[to]],"_",REPT("*",10)),10),"*","")</f>
        <v>WS5</v>
      </c>
      <c r="F239" s="3" t="str">
        <f>INDEX(Assets[Asset_ID],MATCH(Network_Connections[[#This Row],[From2]],Assets[name],0))</f>
        <v>A00022</v>
      </c>
      <c r="G239" s="3" t="s">
        <v>145</v>
      </c>
      <c r="H239" s="3" t="s">
        <v>144</v>
      </c>
      <c r="I239" s="3">
        <v>0</v>
      </c>
      <c r="J23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39" s="3" t="str">
        <f>RIGHT(Network_Connections[[#This Row],[port/protocol]],LEN(Network_Connections[[#This Row],[port/protocol]])-FIND("/",Network_Connections[[#This Row],[port/protocol]]))</f>
        <v>0-65535</v>
      </c>
      <c r="L239" s="3">
        <f t="shared" si="4"/>
        <v>0</v>
      </c>
    </row>
    <row r="240" spans="1:12" x14ac:dyDescent="0.2">
      <c r="A240" s="3" t="s">
        <v>161</v>
      </c>
      <c r="B240" s="3" t="str">
        <f xml:space="preserve"> SUBSTITUTE(RIGHT(SUBSTITUTE(Network_Connections[[#This Row],[from]],"_",REPT("*",10)),10),"*","")</f>
        <v>Email</v>
      </c>
      <c r="C240" s="3" t="str">
        <f>INDEX(Assets[Asset_ID],MATCH(Network_Connections[[#This Row],[From1]],Assets[name],0))</f>
        <v>A00010</v>
      </c>
      <c r="D240" s="3" t="s">
        <v>148</v>
      </c>
      <c r="E240" s="3" t="str">
        <f xml:space="preserve"> SUBSTITUTE(RIGHT(SUBSTITUTE(Network_Connections[[#This Row],[to]],"_",REPT("*",10)),10),"*","")</f>
        <v>WS6</v>
      </c>
      <c r="F240" s="3" t="str">
        <f>INDEX(Assets[Asset_ID],MATCH(Network_Connections[[#This Row],[From2]],Assets[name],0))</f>
        <v>A00023</v>
      </c>
      <c r="G240" s="3" t="s">
        <v>145</v>
      </c>
      <c r="H240" s="3" t="s">
        <v>144</v>
      </c>
      <c r="I240" s="3">
        <v>0</v>
      </c>
      <c r="J24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0" s="3" t="str">
        <f>RIGHT(Network_Connections[[#This Row],[port/protocol]],LEN(Network_Connections[[#This Row],[port/protocol]])-FIND("/",Network_Connections[[#This Row],[port/protocol]]))</f>
        <v>0-65535</v>
      </c>
      <c r="L240" s="3">
        <f t="shared" si="4"/>
        <v>0</v>
      </c>
    </row>
    <row r="241" spans="1:12" x14ac:dyDescent="0.2">
      <c r="A241" s="3" t="s">
        <v>161</v>
      </c>
      <c r="B241" s="3" t="str">
        <f xml:space="preserve"> SUBSTITUTE(RIGHT(SUBSTITUTE(Network_Connections[[#This Row],[from]],"_",REPT("*",10)),10),"*","")</f>
        <v>Email</v>
      </c>
      <c r="C241" s="3" t="str">
        <f>INDEX(Assets[Asset_ID],MATCH(Network_Connections[[#This Row],[From1]],Assets[name],0))</f>
        <v>A00010</v>
      </c>
      <c r="D241" s="3" t="s">
        <v>146</v>
      </c>
      <c r="E241" s="3" t="str">
        <f xml:space="preserve"> SUBSTITUTE(RIGHT(SUBSTITUTE(Network_Connections[[#This Row],[to]],"_",REPT("*",10)),10),"*","")</f>
        <v>WS7</v>
      </c>
      <c r="F241" s="3" t="str">
        <f>INDEX(Assets[Asset_ID],MATCH(Network_Connections[[#This Row],[From2]],Assets[name],0))</f>
        <v>A00024</v>
      </c>
      <c r="G241" s="3" t="s">
        <v>145</v>
      </c>
      <c r="H241" s="3" t="s">
        <v>144</v>
      </c>
      <c r="I241" s="3">
        <v>0</v>
      </c>
      <c r="J24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1" s="3" t="str">
        <f>RIGHT(Network_Connections[[#This Row],[port/protocol]],LEN(Network_Connections[[#This Row],[port/protocol]])-FIND("/",Network_Connections[[#This Row],[port/protocol]]))</f>
        <v>0-65535</v>
      </c>
      <c r="L241" s="3">
        <f t="shared" si="4"/>
        <v>0</v>
      </c>
    </row>
    <row r="242" spans="1:12" x14ac:dyDescent="0.2">
      <c r="A242" s="3" t="s">
        <v>161</v>
      </c>
      <c r="B242" s="3" t="str">
        <f xml:space="preserve"> SUBSTITUTE(RIGHT(SUBSTITUTE(Network_Connections[[#This Row],[from]],"_",REPT("*",10)),10),"*","")</f>
        <v>Email</v>
      </c>
      <c r="C242" s="3" t="str">
        <f>INDEX(Assets[Asset_ID],MATCH(Network_Connections[[#This Row],[From1]],Assets[name],0))</f>
        <v>A00010</v>
      </c>
      <c r="D242" s="3" t="s">
        <v>147</v>
      </c>
      <c r="E242" s="3" t="str">
        <f xml:space="preserve"> SUBSTITUTE(RIGHT(SUBSTITUTE(Network_Connections[[#This Row],[to]],"_",REPT("*",10)),10),"*","")</f>
        <v>WS8</v>
      </c>
      <c r="F242" s="3" t="str">
        <f>INDEX(Assets[Asset_ID],MATCH(Network_Connections[[#This Row],[From2]],Assets[name],0))</f>
        <v>A00025</v>
      </c>
      <c r="G242" s="3" t="s">
        <v>145</v>
      </c>
      <c r="H242" s="3" t="s">
        <v>144</v>
      </c>
      <c r="I242" s="3">
        <v>0</v>
      </c>
      <c r="J24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2" s="3" t="str">
        <f>RIGHT(Network_Connections[[#This Row],[port/protocol]],LEN(Network_Connections[[#This Row],[port/protocol]])-FIND("/",Network_Connections[[#This Row],[port/protocol]]))</f>
        <v>0-65535</v>
      </c>
      <c r="L242" s="3">
        <f t="shared" si="4"/>
        <v>0</v>
      </c>
    </row>
    <row r="243" spans="1:12" x14ac:dyDescent="0.2">
      <c r="A243" s="3" t="s">
        <v>160</v>
      </c>
      <c r="B243" s="3" t="str">
        <f xml:space="preserve"> SUBSTITUTE(RIGHT(SUBSTITUTE(Network_Connections[[#This Row],[from]],"_",REPT("*",10)),10),"*","")</f>
        <v>WMS</v>
      </c>
      <c r="C243" s="3" t="str">
        <f>INDEX(Assets[Asset_ID],MATCH(Network_Connections[[#This Row],[From1]],Assets[name],0))</f>
        <v>A00011</v>
      </c>
      <c r="D243" s="3" t="s">
        <v>171</v>
      </c>
      <c r="E243" s="3" t="str">
        <f xml:space="preserve"> SUBSTITUTE(RIGHT(SUBSTITUTE(Network_Connections[[#This Row],[to]],"_",REPT("*",10)),10),"*","")</f>
        <v>FW1</v>
      </c>
      <c r="F243" s="3" t="str">
        <f>INDEX(Assets[Asset_ID],MATCH(Network_Connections[[#This Row],[From2]],Assets[name],0))</f>
        <v>A00001</v>
      </c>
      <c r="G243" s="3" t="s">
        <v>145</v>
      </c>
      <c r="H243" s="3" t="s">
        <v>144</v>
      </c>
      <c r="I243" s="3">
        <v>0</v>
      </c>
      <c r="J24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3" s="3" t="str">
        <f>RIGHT(Network_Connections[[#This Row],[port/protocol]],LEN(Network_Connections[[#This Row],[port/protocol]])-FIND("/",Network_Connections[[#This Row],[port/protocol]]))</f>
        <v>0-65535</v>
      </c>
      <c r="L243" s="3">
        <f t="shared" si="4"/>
        <v>0</v>
      </c>
    </row>
    <row r="244" spans="1:12" x14ac:dyDescent="0.2">
      <c r="A244" s="3" t="s">
        <v>160</v>
      </c>
      <c r="B244" s="3" t="str">
        <f xml:space="preserve"> SUBSTITUTE(RIGHT(SUBSTITUTE(Network_Connections[[#This Row],[from]],"_",REPT("*",10)),10),"*","")</f>
        <v>WMS</v>
      </c>
      <c r="C244" s="3" t="str">
        <f>INDEX(Assets[Asset_ID],MATCH(Network_Connections[[#This Row],[From1]],Assets[name],0))</f>
        <v>A00011</v>
      </c>
      <c r="D244" s="3" t="s">
        <v>170</v>
      </c>
      <c r="E244" s="3" t="str">
        <f xml:space="preserve"> SUBSTITUTE(RIGHT(SUBSTITUTE(Network_Connections[[#This Row],[to]],"_",REPT("*",10)),10),"*","")</f>
        <v>VPNSRV</v>
      </c>
      <c r="F244" s="3" t="str">
        <f>INDEX(Assets[Asset_ID],MATCH(Network_Connections[[#This Row],[From2]],Assets[name],0))</f>
        <v>A00002</v>
      </c>
      <c r="G244" s="3" t="s">
        <v>145</v>
      </c>
      <c r="H244" s="3" t="s">
        <v>144</v>
      </c>
      <c r="I244" s="3">
        <v>0</v>
      </c>
      <c r="J24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4" s="3" t="str">
        <f>RIGHT(Network_Connections[[#This Row],[port/protocol]],LEN(Network_Connections[[#This Row],[port/protocol]])-FIND("/",Network_Connections[[#This Row],[port/protocol]]))</f>
        <v>0-65535</v>
      </c>
      <c r="L244" s="3">
        <f t="shared" si="4"/>
        <v>0</v>
      </c>
    </row>
    <row r="245" spans="1:12" x14ac:dyDescent="0.2">
      <c r="A245" s="3" t="s">
        <v>160</v>
      </c>
      <c r="B245" s="3" t="str">
        <f xml:space="preserve"> SUBSTITUTE(RIGHT(SUBSTITUTE(Network_Connections[[#This Row],[from]],"_",REPT("*",10)),10),"*","")</f>
        <v>WMS</v>
      </c>
      <c r="C245" s="3" t="str">
        <f>INDEX(Assets[Asset_ID],MATCH(Network_Connections[[#This Row],[From1]],Assets[name],0))</f>
        <v>A00011</v>
      </c>
      <c r="D245" s="3" t="s">
        <v>169</v>
      </c>
      <c r="E245" s="3" t="str">
        <f xml:space="preserve"> SUBSTITUTE(RIGHT(SUBSTITUTE(Network_Connections[[#This Row],[to]],"_",REPT("*",10)),10),"*","")</f>
        <v>WebSRV1</v>
      </c>
      <c r="F245" s="3" t="str">
        <f>INDEX(Assets[Asset_ID],MATCH(Network_Connections[[#This Row],[From2]],Assets[name],0))</f>
        <v>A00003</v>
      </c>
      <c r="G245" s="3" t="s">
        <v>145</v>
      </c>
      <c r="H245" s="3" t="s">
        <v>144</v>
      </c>
      <c r="I245" s="3">
        <v>0</v>
      </c>
      <c r="J24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5" s="3" t="str">
        <f>RIGHT(Network_Connections[[#This Row],[port/protocol]],LEN(Network_Connections[[#This Row],[port/protocol]])-FIND("/",Network_Connections[[#This Row],[port/protocol]]))</f>
        <v>0-65535</v>
      </c>
      <c r="L245" s="3">
        <f t="shared" si="4"/>
        <v>0</v>
      </c>
    </row>
    <row r="246" spans="1:12" x14ac:dyDescent="0.2">
      <c r="A246" s="3" t="s">
        <v>160</v>
      </c>
      <c r="B246" s="3" t="str">
        <f xml:space="preserve"> SUBSTITUTE(RIGHT(SUBSTITUTE(Network_Connections[[#This Row],[from]],"_",REPT("*",10)),10),"*","")</f>
        <v>WMS</v>
      </c>
      <c r="C246" s="3" t="str">
        <f>INDEX(Assets[Asset_ID],MATCH(Network_Connections[[#This Row],[From1]],Assets[name],0))</f>
        <v>A00011</v>
      </c>
      <c r="D246" s="3" t="s">
        <v>168</v>
      </c>
      <c r="E246" s="3" t="str">
        <f xml:space="preserve"> SUBSTITUTE(RIGHT(SUBSTITUTE(Network_Connections[[#This Row],[to]],"_",REPT("*",10)),10),"*","")</f>
        <v>WebSRV2</v>
      </c>
      <c r="F246" s="3" t="str">
        <f>INDEX(Assets[Asset_ID],MATCH(Network_Connections[[#This Row],[From2]],Assets[name],0))</f>
        <v>A00004</v>
      </c>
      <c r="G246" s="3" t="s">
        <v>145</v>
      </c>
      <c r="H246" s="3" t="s">
        <v>144</v>
      </c>
      <c r="I246" s="3">
        <v>0</v>
      </c>
      <c r="J24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6" s="3" t="str">
        <f>RIGHT(Network_Connections[[#This Row],[port/protocol]],LEN(Network_Connections[[#This Row],[port/protocol]])-FIND("/",Network_Connections[[#This Row],[port/protocol]]))</f>
        <v>0-65535</v>
      </c>
      <c r="L246" s="3">
        <f t="shared" si="4"/>
        <v>0</v>
      </c>
    </row>
    <row r="247" spans="1:12" x14ac:dyDescent="0.2">
      <c r="A247" s="3" t="s">
        <v>160</v>
      </c>
      <c r="B247" s="3" t="str">
        <f xml:space="preserve"> SUBSTITUTE(RIGHT(SUBSTITUTE(Network_Connections[[#This Row],[from]],"_",REPT("*",10)),10),"*","")</f>
        <v>WMS</v>
      </c>
      <c r="C247" s="3" t="str">
        <f>INDEX(Assets[Asset_ID],MATCH(Network_Connections[[#This Row],[From1]],Assets[name],0))</f>
        <v>A00011</v>
      </c>
      <c r="D247" s="3" t="s">
        <v>166</v>
      </c>
      <c r="E247" s="3" t="str">
        <f xml:space="preserve"> SUBSTITUTE(RIGHT(SUBSTITUTE(Network_Connections[[#This Row],[to]],"_",REPT("*",10)),10),"*","")</f>
        <v>FW2</v>
      </c>
      <c r="F247" s="3" t="str">
        <f>INDEX(Assets[Asset_ID],MATCH(Network_Connections[[#This Row],[From2]],Assets[name],0))</f>
        <v>A00005</v>
      </c>
      <c r="G247" s="3" t="s">
        <v>145</v>
      </c>
      <c r="H247" s="3" t="s">
        <v>144</v>
      </c>
      <c r="I247" s="3">
        <v>0</v>
      </c>
      <c r="J24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47" s="3" t="str">
        <f>RIGHT(Network_Connections[[#This Row],[port/protocol]],LEN(Network_Connections[[#This Row],[port/protocol]])-FIND("/",Network_Connections[[#This Row],[port/protocol]]))</f>
        <v>0-65535</v>
      </c>
      <c r="L247" s="3">
        <f t="shared" si="4"/>
        <v>0</v>
      </c>
    </row>
    <row r="248" spans="1:12" x14ac:dyDescent="0.2">
      <c r="A248" s="3" t="s">
        <v>160</v>
      </c>
      <c r="B248" s="3" t="str">
        <f xml:space="preserve"> SUBSTITUTE(RIGHT(SUBSTITUTE(Network_Connections[[#This Row],[from]],"_",REPT("*",10)),10),"*","")</f>
        <v>WMS</v>
      </c>
      <c r="C248" s="3" t="str">
        <f>INDEX(Assets[Asset_ID],MATCH(Network_Connections[[#This Row],[From1]],Assets[name],0))</f>
        <v>A00011</v>
      </c>
      <c r="D248" s="3" t="s">
        <v>165</v>
      </c>
      <c r="E248" s="3" t="str">
        <f xml:space="preserve"> SUBSTITUTE(RIGHT(SUBSTITUTE(Network_Connections[[#This Row],[to]],"_",REPT("*",10)),10),"*","")</f>
        <v>SW1</v>
      </c>
      <c r="F248" s="3" t="str">
        <f>INDEX(Assets[Asset_ID],MATCH(Network_Connections[[#This Row],[From2]],Assets[name],0))</f>
        <v>A00006</v>
      </c>
      <c r="G248" s="3" t="s">
        <v>145</v>
      </c>
      <c r="H248" s="3" t="s">
        <v>144</v>
      </c>
      <c r="I248" s="3">
        <v>1</v>
      </c>
      <c r="J24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"A00011"-&gt;"A00006"@00:("IP", "0-65535");</v>
      </c>
      <c r="K248" s="3" t="str">
        <f>RIGHT(Network_Connections[[#This Row],[port/protocol]],LEN(Network_Connections[[#This Row],[port/protocol]])-FIND("/",Network_Connections[[#This Row],[port/protocol]]))</f>
        <v>0-65535</v>
      </c>
      <c r="L248" s="3">
        <f t="shared" si="4"/>
        <v>0</v>
      </c>
    </row>
    <row r="249" spans="1:12" x14ac:dyDescent="0.2">
      <c r="A249" s="3" t="s">
        <v>160</v>
      </c>
      <c r="B249" s="3" t="str">
        <f xml:space="preserve"> SUBSTITUTE(RIGHT(SUBSTITUTE(Network_Connections[[#This Row],[from]],"_",REPT("*",10)),10),"*","")</f>
        <v>WMS</v>
      </c>
      <c r="C249" s="3" t="str">
        <f>INDEX(Assets[Asset_ID],MATCH(Network_Connections[[#This Row],[From1]],Assets[name],0))</f>
        <v>A00011</v>
      </c>
      <c r="D249" s="3" t="s">
        <v>164</v>
      </c>
      <c r="E249" s="3" t="str">
        <f xml:space="preserve"> SUBSTITUTE(RIGHT(SUBSTITUTE(Network_Connections[[#This Row],[to]],"_",REPT("*",10)),10),"*","")</f>
        <v>AD</v>
      </c>
      <c r="F249" s="3" t="str">
        <f>INDEX(Assets[Asset_ID],MATCH(Network_Connections[[#This Row],[From2]],Assets[name],0))</f>
        <v>A00007</v>
      </c>
      <c r="G249" s="3" t="s">
        <v>145</v>
      </c>
      <c r="H249" s="3" t="s">
        <v>144</v>
      </c>
      <c r="I249" s="3">
        <v>1</v>
      </c>
      <c r="J24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"A00011"-&gt;"A00007"@00:("IP", "0-65535");</v>
      </c>
      <c r="K249" s="3" t="str">
        <f>RIGHT(Network_Connections[[#This Row],[port/protocol]],LEN(Network_Connections[[#This Row],[port/protocol]])-FIND("/",Network_Connections[[#This Row],[port/protocol]]))</f>
        <v>0-65535</v>
      </c>
      <c r="L249" s="3">
        <f t="shared" si="4"/>
        <v>0</v>
      </c>
    </row>
    <row r="250" spans="1:12" x14ac:dyDescent="0.2">
      <c r="A250" s="3" t="s">
        <v>160</v>
      </c>
      <c r="B250" s="3" t="str">
        <f xml:space="preserve"> SUBSTITUTE(RIGHT(SUBSTITUTE(Network_Connections[[#This Row],[from]],"_",REPT("*",10)),10),"*","")</f>
        <v>WMS</v>
      </c>
      <c r="C250" s="3" t="str">
        <f>INDEX(Assets[Asset_ID],MATCH(Network_Connections[[#This Row],[From1]],Assets[name],0))</f>
        <v>A00011</v>
      </c>
      <c r="D250" s="3" t="s">
        <v>163</v>
      </c>
      <c r="E250" s="3" t="str">
        <f xml:space="preserve"> SUBSTITUTE(RIGHT(SUBSTITUTE(Network_Connections[[#This Row],[to]],"_",REPT("*",10)),10),"*","")</f>
        <v>ERP</v>
      </c>
      <c r="F250" s="3" t="str">
        <f>INDEX(Assets[Asset_ID],MATCH(Network_Connections[[#This Row],[From2]],Assets[name],0))</f>
        <v>A00008</v>
      </c>
      <c r="G250" s="3" t="s">
        <v>145</v>
      </c>
      <c r="H250" s="3" t="s">
        <v>144</v>
      </c>
      <c r="I250" s="3">
        <v>1</v>
      </c>
      <c r="J25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"A00011"-&gt;"A00008"@00:("IP", "0-65535");</v>
      </c>
      <c r="K250" s="3" t="str">
        <f>RIGHT(Network_Connections[[#This Row],[port/protocol]],LEN(Network_Connections[[#This Row],[port/protocol]])-FIND("/",Network_Connections[[#This Row],[port/protocol]]))</f>
        <v>0-65535</v>
      </c>
      <c r="L250" s="3">
        <f t="shared" si="4"/>
        <v>0</v>
      </c>
    </row>
    <row r="251" spans="1:12" x14ac:dyDescent="0.2">
      <c r="A251" s="3" t="s">
        <v>160</v>
      </c>
      <c r="B251" s="3" t="str">
        <f xml:space="preserve"> SUBSTITUTE(RIGHT(SUBSTITUTE(Network_Connections[[#This Row],[from]],"_",REPT("*",10)),10),"*","")</f>
        <v>WMS</v>
      </c>
      <c r="C251" s="3" t="str">
        <f>INDEX(Assets[Asset_ID],MATCH(Network_Connections[[#This Row],[From1]],Assets[name],0))</f>
        <v>A00011</v>
      </c>
      <c r="D251" s="3" t="s">
        <v>162</v>
      </c>
      <c r="E251" s="3" t="str">
        <f xml:space="preserve"> SUBSTITUTE(RIGHT(SUBSTITUTE(Network_Connections[[#This Row],[to]],"_",REPT("*",10)),10),"*","")</f>
        <v>Banking</v>
      </c>
      <c r="F251" s="3" t="str">
        <f>INDEX(Assets[Asset_ID],MATCH(Network_Connections[[#This Row],[From2]],Assets[name],0))</f>
        <v>A00009</v>
      </c>
      <c r="G251" s="3" t="s">
        <v>145</v>
      </c>
      <c r="H251" s="3" t="s">
        <v>144</v>
      </c>
      <c r="I251" s="3">
        <v>0</v>
      </c>
      <c r="J25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51" s="3" t="str">
        <f>RIGHT(Network_Connections[[#This Row],[port/protocol]],LEN(Network_Connections[[#This Row],[port/protocol]])-FIND("/",Network_Connections[[#This Row],[port/protocol]]))</f>
        <v>0-65535</v>
      </c>
      <c r="L251" s="3">
        <f t="shared" si="4"/>
        <v>0</v>
      </c>
    </row>
    <row r="252" spans="1:12" x14ac:dyDescent="0.2">
      <c r="A252" s="3" t="s">
        <v>160</v>
      </c>
      <c r="B252" s="3" t="str">
        <f xml:space="preserve"> SUBSTITUTE(RIGHT(SUBSTITUTE(Network_Connections[[#This Row],[from]],"_",REPT("*",10)),10),"*","")</f>
        <v>WMS</v>
      </c>
      <c r="C252" s="3" t="str">
        <f>INDEX(Assets[Asset_ID],MATCH(Network_Connections[[#This Row],[From1]],Assets[name],0))</f>
        <v>A00011</v>
      </c>
      <c r="D252" s="3" t="s">
        <v>161</v>
      </c>
      <c r="E252" s="3" t="str">
        <f xml:space="preserve"> SUBSTITUTE(RIGHT(SUBSTITUTE(Network_Connections[[#This Row],[to]],"_",REPT("*",10)),10),"*","")</f>
        <v>Email</v>
      </c>
      <c r="F252" s="3" t="str">
        <f>INDEX(Assets[Asset_ID],MATCH(Network_Connections[[#This Row],[From2]],Assets[name],0))</f>
        <v>A00010</v>
      </c>
      <c r="G252" s="3" t="s">
        <v>145</v>
      </c>
      <c r="H252" s="3" t="s">
        <v>144</v>
      </c>
      <c r="I252" s="3">
        <v>1</v>
      </c>
      <c r="J25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"A00011"-&gt;"A00010"@00:("IP", "0-65535");</v>
      </c>
      <c r="K252" s="3" t="str">
        <f>RIGHT(Network_Connections[[#This Row],[port/protocol]],LEN(Network_Connections[[#This Row],[port/protocol]])-FIND("/",Network_Connections[[#This Row],[port/protocol]]))</f>
        <v>0-65535</v>
      </c>
      <c r="L252" s="3">
        <f t="shared" si="4"/>
        <v>0</v>
      </c>
    </row>
    <row r="253" spans="1:12" x14ac:dyDescent="0.2">
      <c r="A253" s="3" t="s">
        <v>160</v>
      </c>
      <c r="B253" s="3" t="str">
        <f xml:space="preserve"> SUBSTITUTE(RIGHT(SUBSTITUTE(Network_Connections[[#This Row],[from]],"_",REPT("*",10)),10),"*","")</f>
        <v>WMS</v>
      </c>
      <c r="C253" s="3" t="str">
        <f>INDEX(Assets[Asset_ID],MATCH(Network_Connections[[#This Row],[From1]],Assets[name],0))</f>
        <v>A00011</v>
      </c>
      <c r="D253" s="3" t="s">
        <v>159</v>
      </c>
      <c r="E253" s="3" t="str">
        <f xml:space="preserve"> SUBSTITUTE(RIGHT(SUBSTITUTE(Network_Connections[[#This Row],[to]],"_",REPT("*",10)),10),"*","")</f>
        <v>CRM</v>
      </c>
      <c r="F253" s="3" t="str">
        <f>INDEX(Assets[Asset_ID],MATCH(Network_Connections[[#This Row],[From2]],Assets[name],0))</f>
        <v>A00012</v>
      </c>
      <c r="G253" s="3" t="s">
        <v>145</v>
      </c>
      <c r="H253" s="3" t="s">
        <v>144</v>
      </c>
      <c r="I253" s="3">
        <v>1</v>
      </c>
      <c r="J25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"A00011"-&gt;"A00012"@00:("IP", "0-65535");</v>
      </c>
      <c r="K253" s="3" t="str">
        <f>RIGHT(Network_Connections[[#This Row],[port/protocol]],LEN(Network_Connections[[#This Row],[port/protocol]])-FIND("/",Network_Connections[[#This Row],[port/protocol]]))</f>
        <v>0-65535</v>
      </c>
      <c r="L253" s="3">
        <f t="shared" si="4"/>
        <v>0</v>
      </c>
    </row>
    <row r="254" spans="1:12" x14ac:dyDescent="0.2">
      <c r="A254" s="3" t="s">
        <v>160</v>
      </c>
      <c r="B254" s="3" t="str">
        <f xml:space="preserve"> SUBSTITUTE(RIGHT(SUBSTITUTE(Network_Connections[[#This Row],[from]],"_",REPT("*",10)),10),"*","")</f>
        <v>WMS</v>
      </c>
      <c r="C254" s="3" t="str">
        <f>INDEX(Assets[Asset_ID],MATCH(Network_Connections[[#This Row],[From1]],Assets[name],0))</f>
        <v>A00011</v>
      </c>
      <c r="D254" s="3" t="s">
        <v>158</v>
      </c>
      <c r="E254" s="3" t="str">
        <f xml:space="preserve"> SUBSTITUTE(RIGHT(SUBSTITUTE(Network_Connections[[#This Row],[to]],"_",REPT("*",10)),10),"*","")</f>
        <v>WIFI1</v>
      </c>
      <c r="F254" s="3" t="str">
        <f>INDEX(Assets[Asset_ID],MATCH(Network_Connections[[#This Row],[From2]],Assets[name],0))</f>
        <v>A00013</v>
      </c>
      <c r="G254" s="3" t="s">
        <v>145</v>
      </c>
      <c r="H254" s="3" t="s">
        <v>144</v>
      </c>
      <c r="I254" s="3">
        <v>0</v>
      </c>
      <c r="J25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54" s="3" t="str">
        <f>RIGHT(Network_Connections[[#This Row],[port/protocol]],LEN(Network_Connections[[#This Row],[port/protocol]])-FIND("/",Network_Connections[[#This Row],[port/protocol]]))</f>
        <v>0-65535</v>
      </c>
      <c r="L254" s="3">
        <f t="shared" si="4"/>
        <v>0</v>
      </c>
    </row>
    <row r="255" spans="1:12" x14ac:dyDescent="0.2">
      <c r="A255" s="3" t="s">
        <v>160</v>
      </c>
      <c r="B255" s="3" t="str">
        <f xml:space="preserve"> SUBSTITUTE(RIGHT(SUBSTITUTE(Network_Connections[[#This Row],[from]],"_",REPT("*",10)),10),"*","")</f>
        <v>WMS</v>
      </c>
      <c r="C255" s="3" t="str">
        <f>INDEX(Assets[Asset_ID],MATCH(Network_Connections[[#This Row],[From1]],Assets[name],0))</f>
        <v>A00011</v>
      </c>
      <c r="D255" s="3" t="s">
        <v>157</v>
      </c>
      <c r="E255" s="3" t="str">
        <f xml:space="preserve"> SUBSTITUTE(RIGHT(SUBSTITUTE(Network_Connections[[#This Row],[to]],"_",REPT("*",10)),10),"*","")</f>
        <v>WS1</v>
      </c>
      <c r="F255" s="3" t="str">
        <f>INDEX(Assets[Asset_ID],MATCH(Network_Connections[[#This Row],[From2]],Assets[name],0))</f>
        <v>A00014</v>
      </c>
      <c r="G255" s="3" t="s">
        <v>145</v>
      </c>
      <c r="H255" s="3" t="s">
        <v>144</v>
      </c>
      <c r="I255" s="3">
        <v>0</v>
      </c>
      <c r="J25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55" s="3" t="str">
        <f>RIGHT(Network_Connections[[#This Row],[port/protocol]],LEN(Network_Connections[[#This Row],[port/protocol]])-FIND("/",Network_Connections[[#This Row],[port/protocol]]))</f>
        <v>0-65535</v>
      </c>
      <c r="L255" s="3">
        <f t="shared" si="4"/>
        <v>0</v>
      </c>
    </row>
    <row r="256" spans="1:12" x14ac:dyDescent="0.2">
      <c r="A256" s="3" t="s">
        <v>160</v>
      </c>
      <c r="B256" s="3" t="str">
        <f xml:space="preserve"> SUBSTITUTE(RIGHT(SUBSTITUTE(Network_Connections[[#This Row],[from]],"_",REPT("*",10)),10),"*","")</f>
        <v>WMS</v>
      </c>
      <c r="C256" s="3" t="str">
        <f>INDEX(Assets[Asset_ID],MATCH(Network_Connections[[#This Row],[From1]],Assets[name],0))</f>
        <v>A00011</v>
      </c>
      <c r="D256" s="3" t="s">
        <v>156</v>
      </c>
      <c r="E256" s="3" t="str">
        <f xml:space="preserve"> SUBSTITUTE(RIGHT(SUBSTITUTE(Network_Connections[[#This Row],[to]],"_",REPT("*",10)),10),"*","")</f>
        <v>FW3</v>
      </c>
      <c r="F256" s="3" t="str">
        <f>INDEX(Assets[Asset_ID],MATCH(Network_Connections[[#This Row],[From2]],Assets[name],0))</f>
        <v>A00015</v>
      </c>
      <c r="G256" s="3" t="s">
        <v>145</v>
      </c>
      <c r="H256" s="3" t="s">
        <v>144</v>
      </c>
      <c r="I256" s="3">
        <v>0</v>
      </c>
      <c r="J25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56" s="3" t="str">
        <f>RIGHT(Network_Connections[[#This Row],[port/protocol]],LEN(Network_Connections[[#This Row],[port/protocol]])-FIND("/",Network_Connections[[#This Row],[port/protocol]]))</f>
        <v>0-65535</v>
      </c>
      <c r="L256" s="3">
        <f t="shared" si="4"/>
        <v>0</v>
      </c>
    </row>
    <row r="257" spans="1:12" x14ac:dyDescent="0.2">
      <c r="A257" s="3" t="s">
        <v>160</v>
      </c>
      <c r="B257" s="3" t="str">
        <f xml:space="preserve"> SUBSTITUTE(RIGHT(SUBSTITUTE(Network_Connections[[#This Row],[from]],"_",REPT("*",10)),10),"*","")</f>
        <v>WMS</v>
      </c>
      <c r="C257" s="3" t="str">
        <f>INDEX(Assets[Asset_ID],MATCH(Network_Connections[[#This Row],[From1]],Assets[name],0))</f>
        <v>A00011</v>
      </c>
      <c r="D257" s="3" t="s">
        <v>155</v>
      </c>
      <c r="E257" s="3" t="str">
        <f xml:space="preserve"> SUBSTITUTE(RIGHT(SUBSTITUTE(Network_Connections[[#This Row],[to]],"_",REPT("*",10)),10),"*","")</f>
        <v>SW2</v>
      </c>
      <c r="F257" s="3" t="str">
        <f>INDEX(Assets[Asset_ID],MATCH(Network_Connections[[#This Row],[From2]],Assets[name],0))</f>
        <v>A00016</v>
      </c>
      <c r="G257" s="3" t="s">
        <v>145</v>
      </c>
      <c r="H257" s="3" t="s">
        <v>144</v>
      </c>
      <c r="I257" s="3">
        <v>0</v>
      </c>
      <c r="J25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57" s="3" t="str">
        <f>RIGHT(Network_Connections[[#This Row],[port/protocol]],LEN(Network_Connections[[#This Row],[port/protocol]])-FIND("/",Network_Connections[[#This Row],[port/protocol]]))</f>
        <v>0-65535</v>
      </c>
      <c r="L257" s="3">
        <f t="shared" si="4"/>
        <v>0</v>
      </c>
    </row>
    <row r="258" spans="1:12" x14ac:dyDescent="0.2">
      <c r="A258" s="3" t="s">
        <v>160</v>
      </c>
      <c r="B258" s="3" t="str">
        <f xml:space="preserve"> SUBSTITUTE(RIGHT(SUBSTITUTE(Network_Connections[[#This Row],[from]],"_",REPT("*",10)),10),"*","")</f>
        <v>WMS</v>
      </c>
      <c r="C258" s="3" t="str">
        <f>INDEX(Assets[Asset_ID],MATCH(Network_Connections[[#This Row],[From1]],Assets[name],0))</f>
        <v>A00011</v>
      </c>
      <c r="D258" s="3" t="s">
        <v>154</v>
      </c>
      <c r="E258" s="3" t="str">
        <f xml:space="preserve"> SUBSTITUTE(RIGHT(SUBSTITUTE(Network_Connections[[#This Row],[to]],"_",REPT("*",10)),10),"*","")</f>
        <v>WS2</v>
      </c>
      <c r="F258" s="3" t="str">
        <f>INDEX(Assets[Asset_ID],MATCH(Network_Connections[[#This Row],[From2]],Assets[name],0))</f>
        <v>A00017</v>
      </c>
      <c r="G258" s="3" t="s">
        <v>145</v>
      </c>
      <c r="H258" s="3" t="s">
        <v>144</v>
      </c>
      <c r="I258" s="3">
        <v>0</v>
      </c>
      <c r="J25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58" s="3" t="str">
        <f>RIGHT(Network_Connections[[#This Row],[port/protocol]],LEN(Network_Connections[[#This Row],[port/protocol]])-FIND("/",Network_Connections[[#This Row],[port/protocol]]))</f>
        <v>0-65535</v>
      </c>
      <c r="L258" s="3">
        <f t="shared" ref="L258:L321" si="5">IF(AND(C258=C257, F258=F257), L257+1, 0)</f>
        <v>0</v>
      </c>
    </row>
    <row r="259" spans="1:12" x14ac:dyDescent="0.2">
      <c r="A259" s="3" t="s">
        <v>160</v>
      </c>
      <c r="B259" s="3" t="str">
        <f xml:space="preserve"> SUBSTITUTE(RIGHT(SUBSTITUTE(Network_Connections[[#This Row],[from]],"_",REPT("*",10)),10),"*","")</f>
        <v>WMS</v>
      </c>
      <c r="C259" s="3" t="str">
        <f>INDEX(Assets[Asset_ID],MATCH(Network_Connections[[#This Row],[From1]],Assets[name],0))</f>
        <v>A00011</v>
      </c>
      <c r="D259" s="3" t="s">
        <v>153</v>
      </c>
      <c r="E259" s="3" t="str">
        <f xml:space="preserve"> SUBSTITUTE(RIGHT(SUBSTITUTE(Network_Connections[[#This Row],[to]],"_",REPT("*",10)),10),"*","")</f>
        <v>WS3</v>
      </c>
      <c r="F259" s="3" t="str">
        <f>INDEX(Assets[Asset_ID],MATCH(Network_Connections[[#This Row],[From2]],Assets[name],0))</f>
        <v>A00018</v>
      </c>
      <c r="G259" s="3" t="s">
        <v>145</v>
      </c>
      <c r="H259" s="3" t="s">
        <v>144</v>
      </c>
      <c r="I259" s="3">
        <v>0</v>
      </c>
      <c r="J25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59" s="3" t="str">
        <f>RIGHT(Network_Connections[[#This Row],[port/protocol]],LEN(Network_Connections[[#This Row],[port/protocol]])-FIND("/",Network_Connections[[#This Row],[port/protocol]]))</f>
        <v>0-65535</v>
      </c>
      <c r="L259" s="3">
        <f t="shared" si="5"/>
        <v>0</v>
      </c>
    </row>
    <row r="260" spans="1:12" x14ac:dyDescent="0.2">
      <c r="A260" s="3" t="s">
        <v>160</v>
      </c>
      <c r="B260" s="3" t="str">
        <f xml:space="preserve"> SUBSTITUTE(RIGHT(SUBSTITUTE(Network_Connections[[#This Row],[from]],"_",REPT("*",10)),10),"*","")</f>
        <v>WMS</v>
      </c>
      <c r="C260" s="3" t="str">
        <f>INDEX(Assets[Asset_ID],MATCH(Network_Connections[[#This Row],[From1]],Assets[name],0))</f>
        <v>A00011</v>
      </c>
      <c r="D260" s="3" t="s">
        <v>152</v>
      </c>
      <c r="E260" s="3" t="str">
        <f xml:space="preserve"> SUBSTITUTE(RIGHT(SUBSTITUTE(Network_Connections[[#This Row],[to]],"_",REPT("*",10)),10),"*","")</f>
        <v>WS4</v>
      </c>
      <c r="F260" s="3" t="str">
        <f>INDEX(Assets[Asset_ID],MATCH(Network_Connections[[#This Row],[From2]],Assets[name],0))</f>
        <v>A00019</v>
      </c>
      <c r="G260" s="3" t="s">
        <v>145</v>
      </c>
      <c r="H260" s="3" t="s">
        <v>144</v>
      </c>
      <c r="I260" s="3">
        <v>0</v>
      </c>
      <c r="J26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0" s="3" t="str">
        <f>RIGHT(Network_Connections[[#This Row],[port/protocol]],LEN(Network_Connections[[#This Row],[port/protocol]])-FIND("/",Network_Connections[[#This Row],[port/protocol]]))</f>
        <v>0-65535</v>
      </c>
      <c r="L260" s="3">
        <f t="shared" si="5"/>
        <v>0</v>
      </c>
    </row>
    <row r="261" spans="1:12" x14ac:dyDescent="0.2">
      <c r="A261" s="3" t="s">
        <v>160</v>
      </c>
      <c r="B261" s="3" t="str">
        <f xml:space="preserve"> SUBSTITUTE(RIGHT(SUBSTITUTE(Network_Connections[[#This Row],[from]],"_",REPT("*",10)),10),"*","")</f>
        <v>WMS</v>
      </c>
      <c r="C261" s="3" t="str">
        <f>INDEX(Assets[Asset_ID],MATCH(Network_Connections[[#This Row],[From1]],Assets[name],0))</f>
        <v>A00011</v>
      </c>
      <c r="D261" s="3" t="s">
        <v>151</v>
      </c>
      <c r="E261" s="3" t="str">
        <f xml:space="preserve"> SUBSTITUTE(RIGHT(SUBSTITUTE(Network_Connections[[#This Row],[to]],"_",REPT("*",10)),10),"*","")</f>
        <v>FW4</v>
      </c>
      <c r="F261" s="3" t="str">
        <f>INDEX(Assets[Asset_ID],MATCH(Network_Connections[[#This Row],[From2]],Assets[name],0))</f>
        <v>A00020</v>
      </c>
      <c r="G261" s="3" t="s">
        <v>145</v>
      </c>
      <c r="H261" s="3" t="s">
        <v>144</v>
      </c>
      <c r="I261" s="3">
        <v>0</v>
      </c>
      <c r="J26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1" s="3" t="str">
        <f>RIGHT(Network_Connections[[#This Row],[port/protocol]],LEN(Network_Connections[[#This Row],[port/protocol]])-FIND("/",Network_Connections[[#This Row],[port/protocol]]))</f>
        <v>0-65535</v>
      </c>
      <c r="L261" s="3">
        <f t="shared" si="5"/>
        <v>0</v>
      </c>
    </row>
    <row r="262" spans="1:12" x14ac:dyDescent="0.2">
      <c r="A262" s="3" t="s">
        <v>160</v>
      </c>
      <c r="B262" s="3" t="str">
        <f xml:space="preserve"> SUBSTITUTE(RIGHT(SUBSTITUTE(Network_Connections[[#This Row],[from]],"_",REPT("*",10)),10),"*","")</f>
        <v>WMS</v>
      </c>
      <c r="C262" s="3" t="str">
        <f>INDEX(Assets[Asset_ID],MATCH(Network_Connections[[#This Row],[From1]],Assets[name],0))</f>
        <v>A00011</v>
      </c>
      <c r="D262" s="3" t="s">
        <v>150</v>
      </c>
      <c r="E262" s="3" t="str">
        <f xml:space="preserve"> SUBSTITUTE(RIGHT(SUBSTITUTE(Network_Connections[[#This Row],[to]],"_",REPT("*",10)),10),"*","")</f>
        <v>WIFI2</v>
      </c>
      <c r="F262" s="3" t="str">
        <f>INDEX(Assets[Asset_ID],MATCH(Network_Connections[[#This Row],[From2]],Assets[name],0))</f>
        <v>A00021</v>
      </c>
      <c r="G262" s="3" t="s">
        <v>145</v>
      </c>
      <c r="H262" s="3" t="s">
        <v>144</v>
      </c>
      <c r="I262" s="3">
        <v>0</v>
      </c>
      <c r="J26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2" s="3" t="str">
        <f>RIGHT(Network_Connections[[#This Row],[port/protocol]],LEN(Network_Connections[[#This Row],[port/protocol]])-FIND("/",Network_Connections[[#This Row],[port/protocol]]))</f>
        <v>0-65535</v>
      </c>
      <c r="L262" s="3">
        <f t="shared" si="5"/>
        <v>0</v>
      </c>
    </row>
    <row r="263" spans="1:12" x14ac:dyDescent="0.2">
      <c r="A263" s="3" t="s">
        <v>160</v>
      </c>
      <c r="B263" s="3" t="str">
        <f xml:space="preserve"> SUBSTITUTE(RIGHT(SUBSTITUTE(Network_Connections[[#This Row],[from]],"_",REPT("*",10)),10),"*","")</f>
        <v>WMS</v>
      </c>
      <c r="C263" s="3" t="str">
        <f>INDEX(Assets[Asset_ID],MATCH(Network_Connections[[#This Row],[From1]],Assets[name],0))</f>
        <v>A00011</v>
      </c>
      <c r="D263" s="3" t="s">
        <v>149</v>
      </c>
      <c r="E263" s="3" t="str">
        <f xml:space="preserve"> SUBSTITUTE(RIGHT(SUBSTITUTE(Network_Connections[[#This Row],[to]],"_",REPT("*",10)),10),"*","")</f>
        <v>WS5</v>
      </c>
      <c r="F263" s="3" t="str">
        <f>INDEX(Assets[Asset_ID],MATCH(Network_Connections[[#This Row],[From2]],Assets[name],0))</f>
        <v>A00022</v>
      </c>
      <c r="G263" s="3" t="s">
        <v>145</v>
      </c>
      <c r="H263" s="3" t="s">
        <v>144</v>
      </c>
      <c r="I263" s="3">
        <v>0</v>
      </c>
      <c r="J26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3" s="3" t="str">
        <f>RIGHT(Network_Connections[[#This Row],[port/protocol]],LEN(Network_Connections[[#This Row],[port/protocol]])-FIND("/",Network_Connections[[#This Row],[port/protocol]]))</f>
        <v>0-65535</v>
      </c>
      <c r="L263" s="3">
        <f t="shared" si="5"/>
        <v>0</v>
      </c>
    </row>
    <row r="264" spans="1:12" x14ac:dyDescent="0.2">
      <c r="A264" s="3" t="s">
        <v>160</v>
      </c>
      <c r="B264" s="3" t="str">
        <f xml:space="preserve"> SUBSTITUTE(RIGHT(SUBSTITUTE(Network_Connections[[#This Row],[from]],"_",REPT("*",10)),10),"*","")</f>
        <v>WMS</v>
      </c>
      <c r="C264" s="3" t="str">
        <f>INDEX(Assets[Asset_ID],MATCH(Network_Connections[[#This Row],[From1]],Assets[name],0))</f>
        <v>A00011</v>
      </c>
      <c r="D264" s="3" t="s">
        <v>148</v>
      </c>
      <c r="E264" s="3" t="str">
        <f xml:space="preserve"> SUBSTITUTE(RIGHT(SUBSTITUTE(Network_Connections[[#This Row],[to]],"_",REPT("*",10)),10),"*","")</f>
        <v>WS6</v>
      </c>
      <c r="F264" s="3" t="str">
        <f>INDEX(Assets[Asset_ID],MATCH(Network_Connections[[#This Row],[From2]],Assets[name],0))</f>
        <v>A00023</v>
      </c>
      <c r="G264" s="3" t="s">
        <v>145</v>
      </c>
      <c r="H264" s="3" t="s">
        <v>144</v>
      </c>
      <c r="I264" s="3">
        <v>0</v>
      </c>
      <c r="J26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4" s="3" t="str">
        <f>RIGHT(Network_Connections[[#This Row],[port/protocol]],LEN(Network_Connections[[#This Row],[port/protocol]])-FIND("/",Network_Connections[[#This Row],[port/protocol]]))</f>
        <v>0-65535</v>
      </c>
      <c r="L264" s="3">
        <f t="shared" si="5"/>
        <v>0</v>
      </c>
    </row>
    <row r="265" spans="1:12" x14ac:dyDescent="0.2">
      <c r="A265" s="3" t="s">
        <v>160</v>
      </c>
      <c r="B265" s="3" t="str">
        <f xml:space="preserve"> SUBSTITUTE(RIGHT(SUBSTITUTE(Network_Connections[[#This Row],[from]],"_",REPT("*",10)),10),"*","")</f>
        <v>WMS</v>
      </c>
      <c r="C265" s="3" t="str">
        <f>INDEX(Assets[Asset_ID],MATCH(Network_Connections[[#This Row],[From1]],Assets[name],0))</f>
        <v>A00011</v>
      </c>
      <c r="D265" s="3" t="s">
        <v>146</v>
      </c>
      <c r="E265" s="3" t="str">
        <f xml:space="preserve"> SUBSTITUTE(RIGHT(SUBSTITUTE(Network_Connections[[#This Row],[to]],"_",REPT("*",10)),10),"*","")</f>
        <v>WS7</v>
      </c>
      <c r="F265" s="3" t="str">
        <f>INDEX(Assets[Asset_ID],MATCH(Network_Connections[[#This Row],[From2]],Assets[name],0))</f>
        <v>A00024</v>
      </c>
      <c r="G265" s="3" t="s">
        <v>145</v>
      </c>
      <c r="H265" s="3" t="s">
        <v>144</v>
      </c>
      <c r="I265" s="3">
        <v>0</v>
      </c>
      <c r="J26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5" s="3" t="str">
        <f>RIGHT(Network_Connections[[#This Row],[port/protocol]],LEN(Network_Connections[[#This Row],[port/protocol]])-FIND("/",Network_Connections[[#This Row],[port/protocol]]))</f>
        <v>0-65535</v>
      </c>
      <c r="L265" s="3">
        <f t="shared" si="5"/>
        <v>0</v>
      </c>
    </row>
    <row r="266" spans="1:12" x14ac:dyDescent="0.2">
      <c r="A266" s="3" t="s">
        <v>160</v>
      </c>
      <c r="B266" s="3" t="str">
        <f xml:space="preserve"> SUBSTITUTE(RIGHT(SUBSTITUTE(Network_Connections[[#This Row],[from]],"_",REPT("*",10)),10),"*","")</f>
        <v>WMS</v>
      </c>
      <c r="C266" s="3" t="str">
        <f>INDEX(Assets[Asset_ID],MATCH(Network_Connections[[#This Row],[From1]],Assets[name],0))</f>
        <v>A00011</v>
      </c>
      <c r="D266" s="3" t="s">
        <v>147</v>
      </c>
      <c r="E266" s="3" t="str">
        <f xml:space="preserve"> SUBSTITUTE(RIGHT(SUBSTITUTE(Network_Connections[[#This Row],[to]],"_",REPT("*",10)),10),"*","")</f>
        <v>WS8</v>
      </c>
      <c r="F266" s="3" t="str">
        <f>INDEX(Assets[Asset_ID],MATCH(Network_Connections[[#This Row],[From2]],Assets[name],0))</f>
        <v>A00025</v>
      </c>
      <c r="G266" s="3" t="s">
        <v>145</v>
      </c>
      <c r="H266" s="3" t="s">
        <v>144</v>
      </c>
      <c r="I266" s="3">
        <v>0</v>
      </c>
      <c r="J26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6" s="3" t="str">
        <f>RIGHT(Network_Connections[[#This Row],[port/protocol]],LEN(Network_Connections[[#This Row],[port/protocol]])-FIND("/",Network_Connections[[#This Row],[port/protocol]]))</f>
        <v>0-65535</v>
      </c>
      <c r="L266" s="3">
        <f t="shared" si="5"/>
        <v>0</v>
      </c>
    </row>
    <row r="267" spans="1:12" x14ac:dyDescent="0.2">
      <c r="A267" s="3" t="s">
        <v>159</v>
      </c>
      <c r="B267" s="3" t="str">
        <f xml:space="preserve"> SUBSTITUTE(RIGHT(SUBSTITUTE(Network_Connections[[#This Row],[from]],"_",REPT("*",10)),10),"*","")</f>
        <v>CRM</v>
      </c>
      <c r="C267" s="3" t="str">
        <f>INDEX(Assets[Asset_ID],MATCH(Network_Connections[[#This Row],[From1]],Assets[name],0))</f>
        <v>A00012</v>
      </c>
      <c r="D267" s="3" t="s">
        <v>171</v>
      </c>
      <c r="E267" s="3" t="str">
        <f xml:space="preserve"> SUBSTITUTE(RIGHT(SUBSTITUTE(Network_Connections[[#This Row],[to]],"_",REPT("*",10)),10),"*","")</f>
        <v>FW1</v>
      </c>
      <c r="F267" s="3" t="str">
        <f>INDEX(Assets[Asset_ID],MATCH(Network_Connections[[#This Row],[From2]],Assets[name],0))</f>
        <v>A00001</v>
      </c>
      <c r="G267" s="3" t="s">
        <v>145</v>
      </c>
      <c r="H267" s="3" t="s">
        <v>144</v>
      </c>
      <c r="I267" s="3">
        <v>0</v>
      </c>
      <c r="J26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7" s="3" t="str">
        <f>RIGHT(Network_Connections[[#This Row],[port/protocol]],LEN(Network_Connections[[#This Row],[port/protocol]])-FIND("/",Network_Connections[[#This Row],[port/protocol]]))</f>
        <v>0-65535</v>
      </c>
      <c r="L267" s="3">
        <f t="shared" si="5"/>
        <v>0</v>
      </c>
    </row>
    <row r="268" spans="1:12" x14ac:dyDescent="0.2">
      <c r="A268" s="3" t="s">
        <v>159</v>
      </c>
      <c r="B268" s="3" t="str">
        <f xml:space="preserve"> SUBSTITUTE(RIGHT(SUBSTITUTE(Network_Connections[[#This Row],[from]],"_",REPT("*",10)),10),"*","")</f>
        <v>CRM</v>
      </c>
      <c r="C268" s="3" t="str">
        <f>INDEX(Assets[Asset_ID],MATCH(Network_Connections[[#This Row],[From1]],Assets[name],0))</f>
        <v>A00012</v>
      </c>
      <c r="D268" s="3" t="s">
        <v>170</v>
      </c>
      <c r="E268" s="3" t="str">
        <f xml:space="preserve"> SUBSTITUTE(RIGHT(SUBSTITUTE(Network_Connections[[#This Row],[to]],"_",REPT("*",10)),10),"*","")</f>
        <v>VPNSRV</v>
      </c>
      <c r="F268" s="3" t="str">
        <f>INDEX(Assets[Asset_ID],MATCH(Network_Connections[[#This Row],[From2]],Assets[name],0))</f>
        <v>A00002</v>
      </c>
      <c r="G268" s="3" t="s">
        <v>145</v>
      </c>
      <c r="H268" s="3" t="s">
        <v>144</v>
      </c>
      <c r="I268" s="3">
        <v>0</v>
      </c>
      <c r="J26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8" s="3" t="str">
        <f>RIGHT(Network_Connections[[#This Row],[port/protocol]],LEN(Network_Connections[[#This Row],[port/protocol]])-FIND("/",Network_Connections[[#This Row],[port/protocol]]))</f>
        <v>0-65535</v>
      </c>
      <c r="L268" s="3">
        <f t="shared" si="5"/>
        <v>0</v>
      </c>
    </row>
    <row r="269" spans="1:12" x14ac:dyDescent="0.2">
      <c r="A269" s="3" t="s">
        <v>159</v>
      </c>
      <c r="B269" s="3" t="str">
        <f xml:space="preserve"> SUBSTITUTE(RIGHT(SUBSTITUTE(Network_Connections[[#This Row],[from]],"_",REPT("*",10)),10),"*","")</f>
        <v>CRM</v>
      </c>
      <c r="C269" s="3" t="str">
        <f>INDEX(Assets[Asset_ID],MATCH(Network_Connections[[#This Row],[From1]],Assets[name],0))</f>
        <v>A00012</v>
      </c>
      <c r="D269" s="3" t="s">
        <v>169</v>
      </c>
      <c r="E269" s="3" t="str">
        <f xml:space="preserve"> SUBSTITUTE(RIGHT(SUBSTITUTE(Network_Connections[[#This Row],[to]],"_",REPT("*",10)),10),"*","")</f>
        <v>WebSRV1</v>
      </c>
      <c r="F269" s="3" t="str">
        <f>INDEX(Assets[Asset_ID],MATCH(Network_Connections[[#This Row],[From2]],Assets[name],0))</f>
        <v>A00003</v>
      </c>
      <c r="G269" s="3" t="s">
        <v>145</v>
      </c>
      <c r="H269" s="3" t="s">
        <v>144</v>
      </c>
      <c r="I269" s="3">
        <v>0</v>
      </c>
      <c r="J26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69" s="3" t="str">
        <f>RIGHT(Network_Connections[[#This Row],[port/protocol]],LEN(Network_Connections[[#This Row],[port/protocol]])-FIND("/",Network_Connections[[#This Row],[port/protocol]]))</f>
        <v>0-65535</v>
      </c>
      <c r="L269" s="3">
        <f t="shared" si="5"/>
        <v>0</v>
      </c>
    </row>
    <row r="270" spans="1:12" x14ac:dyDescent="0.2">
      <c r="A270" s="3" t="s">
        <v>159</v>
      </c>
      <c r="B270" s="3" t="str">
        <f xml:space="preserve"> SUBSTITUTE(RIGHT(SUBSTITUTE(Network_Connections[[#This Row],[from]],"_",REPT("*",10)),10),"*","")</f>
        <v>CRM</v>
      </c>
      <c r="C270" s="3" t="str">
        <f>INDEX(Assets[Asset_ID],MATCH(Network_Connections[[#This Row],[From1]],Assets[name],0))</f>
        <v>A00012</v>
      </c>
      <c r="D270" s="3" t="s">
        <v>168</v>
      </c>
      <c r="E270" s="3" t="str">
        <f xml:space="preserve"> SUBSTITUTE(RIGHT(SUBSTITUTE(Network_Connections[[#This Row],[to]],"_",REPT("*",10)),10),"*","")</f>
        <v>WebSRV2</v>
      </c>
      <c r="F270" s="3" t="str">
        <f>INDEX(Assets[Asset_ID],MATCH(Network_Connections[[#This Row],[From2]],Assets[name],0))</f>
        <v>A00004</v>
      </c>
      <c r="G270" s="3" t="s">
        <v>145</v>
      </c>
      <c r="H270" s="3" t="s">
        <v>144</v>
      </c>
      <c r="I270" s="3">
        <v>0</v>
      </c>
      <c r="J27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70" s="3" t="str">
        <f>RIGHT(Network_Connections[[#This Row],[port/protocol]],LEN(Network_Connections[[#This Row],[port/protocol]])-FIND("/",Network_Connections[[#This Row],[port/protocol]]))</f>
        <v>0-65535</v>
      </c>
      <c r="L270" s="3">
        <f t="shared" si="5"/>
        <v>0</v>
      </c>
    </row>
    <row r="271" spans="1:12" x14ac:dyDescent="0.2">
      <c r="A271" s="3" t="s">
        <v>159</v>
      </c>
      <c r="B271" s="3" t="str">
        <f xml:space="preserve"> SUBSTITUTE(RIGHT(SUBSTITUTE(Network_Connections[[#This Row],[from]],"_",REPT("*",10)),10),"*","")</f>
        <v>CRM</v>
      </c>
      <c r="C271" s="3" t="str">
        <f>INDEX(Assets[Asset_ID],MATCH(Network_Connections[[#This Row],[From1]],Assets[name],0))</f>
        <v>A00012</v>
      </c>
      <c r="D271" s="3" t="s">
        <v>166</v>
      </c>
      <c r="E271" s="3" t="str">
        <f xml:space="preserve"> SUBSTITUTE(RIGHT(SUBSTITUTE(Network_Connections[[#This Row],[to]],"_",REPT("*",10)),10),"*","")</f>
        <v>FW2</v>
      </c>
      <c r="F271" s="3" t="str">
        <f>INDEX(Assets[Asset_ID],MATCH(Network_Connections[[#This Row],[From2]],Assets[name],0))</f>
        <v>A00005</v>
      </c>
      <c r="G271" s="3" t="s">
        <v>145</v>
      </c>
      <c r="H271" s="3" t="s">
        <v>144</v>
      </c>
      <c r="I271" s="3">
        <v>0</v>
      </c>
      <c r="J27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71" s="3" t="str">
        <f>RIGHT(Network_Connections[[#This Row],[port/protocol]],LEN(Network_Connections[[#This Row],[port/protocol]])-FIND("/",Network_Connections[[#This Row],[port/protocol]]))</f>
        <v>0-65535</v>
      </c>
      <c r="L271" s="3">
        <f t="shared" si="5"/>
        <v>0</v>
      </c>
    </row>
    <row r="272" spans="1:12" x14ac:dyDescent="0.2">
      <c r="A272" s="3" t="s">
        <v>159</v>
      </c>
      <c r="B272" s="3" t="str">
        <f xml:space="preserve"> SUBSTITUTE(RIGHT(SUBSTITUTE(Network_Connections[[#This Row],[from]],"_",REPT("*",10)),10),"*","")</f>
        <v>CRM</v>
      </c>
      <c r="C272" s="3" t="str">
        <f>INDEX(Assets[Asset_ID],MATCH(Network_Connections[[#This Row],[From1]],Assets[name],0))</f>
        <v>A00012</v>
      </c>
      <c r="D272" s="3" t="s">
        <v>165</v>
      </c>
      <c r="E272" s="3" t="str">
        <f xml:space="preserve"> SUBSTITUTE(RIGHT(SUBSTITUTE(Network_Connections[[#This Row],[to]],"_",REPT("*",10)),10),"*","")</f>
        <v>SW1</v>
      </c>
      <c r="F272" s="3" t="str">
        <f>INDEX(Assets[Asset_ID],MATCH(Network_Connections[[#This Row],[From2]],Assets[name],0))</f>
        <v>A00006</v>
      </c>
      <c r="G272" s="3" t="s">
        <v>145</v>
      </c>
      <c r="H272" s="3" t="s">
        <v>144</v>
      </c>
      <c r="I272" s="3">
        <v>1</v>
      </c>
      <c r="J27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"A00012"-&gt;"A00006"@00:("IP", "0-65535");</v>
      </c>
      <c r="K272" s="3" t="str">
        <f>RIGHT(Network_Connections[[#This Row],[port/protocol]],LEN(Network_Connections[[#This Row],[port/protocol]])-FIND("/",Network_Connections[[#This Row],[port/protocol]]))</f>
        <v>0-65535</v>
      </c>
      <c r="L272" s="3">
        <f t="shared" si="5"/>
        <v>0</v>
      </c>
    </row>
    <row r="273" spans="1:12" x14ac:dyDescent="0.2">
      <c r="A273" s="3" t="s">
        <v>159</v>
      </c>
      <c r="B273" s="3" t="str">
        <f xml:space="preserve"> SUBSTITUTE(RIGHT(SUBSTITUTE(Network_Connections[[#This Row],[from]],"_",REPT("*",10)),10),"*","")</f>
        <v>CRM</v>
      </c>
      <c r="C273" s="3" t="str">
        <f>INDEX(Assets[Asset_ID],MATCH(Network_Connections[[#This Row],[From1]],Assets[name],0))</f>
        <v>A00012</v>
      </c>
      <c r="D273" s="3" t="s">
        <v>164</v>
      </c>
      <c r="E273" s="3" t="str">
        <f xml:space="preserve"> SUBSTITUTE(RIGHT(SUBSTITUTE(Network_Connections[[#This Row],[to]],"_",REPT("*",10)),10),"*","")</f>
        <v>AD</v>
      </c>
      <c r="F273" s="3" t="str">
        <f>INDEX(Assets[Asset_ID],MATCH(Network_Connections[[#This Row],[From2]],Assets[name],0))</f>
        <v>A00007</v>
      </c>
      <c r="G273" s="3" t="s">
        <v>145</v>
      </c>
      <c r="H273" s="3" t="s">
        <v>144</v>
      </c>
      <c r="I273" s="3">
        <v>1</v>
      </c>
      <c r="J27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"A00012"-&gt;"A00007"@00:("IP", "0-65535");</v>
      </c>
      <c r="K273" s="3" t="str">
        <f>RIGHT(Network_Connections[[#This Row],[port/protocol]],LEN(Network_Connections[[#This Row],[port/protocol]])-FIND("/",Network_Connections[[#This Row],[port/protocol]]))</f>
        <v>0-65535</v>
      </c>
      <c r="L273" s="3">
        <f t="shared" si="5"/>
        <v>0</v>
      </c>
    </row>
    <row r="274" spans="1:12" x14ac:dyDescent="0.2">
      <c r="A274" s="3" t="s">
        <v>159</v>
      </c>
      <c r="B274" s="3" t="str">
        <f xml:space="preserve"> SUBSTITUTE(RIGHT(SUBSTITUTE(Network_Connections[[#This Row],[from]],"_",REPT("*",10)),10),"*","")</f>
        <v>CRM</v>
      </c>
      <c r="C274" s="3" t="str">
        <f>INDEX(Assets[Asset_ID],MATCH(Network_Connections[[#This Row],[From1]],Assets[name],0))</f>
        <v>A00012</v>
      </c>
      <c r="D274" s="3" t="s">
        <v>163</v>
      </c>
      <c r="E274" s="3" t="str">
        <f xml:space="preserve"> SUBSTITUTE(RIGHT(SUBSTITUTE(Network_Connections[[#This Row],[to]],"_",REPT("*",10)),10),"*","")</f>
        <v>ERP</v>
      </c>
      <c r="F274" s="3" t="str">
        <f>INDEX(Assets[Asset_ID],MATCH(Network_Connections[[#This Row],[From2]],Assets[name],0))</f>
        <v>A00008</v>
      </c>
      <c r="G274" s="3" t="s">
        <v>145</v>
      </c>
      <c r="H274" s="3" t="s">
        <v>144</v>
      </c>
      <c r="I274" s="3">
        <v>1</v>
      </c>
      <c r="J27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"A00012"-&gt;"A00008"@00:("IP", "0-65535");</v>
      </c>
      <c r="K274" s="3" t="str">
        <f>RIGHT(Network_Connections[[#This Row],[port/protocol]],LEN(Network_Connections[[#This Row],[port/protocol]])-FIND("/",Network_Connections[[#This Row],[port/protocol]]))</f>
        <v>0-65535</v>
      </c>
      <c r="L274" s="3">
        <f t="shared" si="5"/>
        <v>0</v>
      </c>
    </row>
    <row r="275" spans="1:12" x14ac:dyDescent="0.2">
      <c r="A275" s="3" t="s">
        <v>159</v>
      </c>
      <c r="B275" s="3" t="str">
        <f xml:space="preserve"> SUBSTITUTE(RIGHT(SUBSTITUTE(Network_Connections[[#This Row],[from]],"_",REPT("*",10)),10),"*","")</f>
        <v>CRM</v>
      </c>
      <c r="C275" s="3" t="str">
        <f>INDEX(Assets[Asset_ID],MATCH(Network_Connections[[#This Row],[From1]],Assets[name],0))</f>
        <v>A00012</v>
      </c>
      <c r="D275" s="3" t="s">
        <v>162</v>
      </c>
      <c r="E275" s="3" t="str">
        <f xml:space="preserve"> SUBSTITUTE(RIGHT(SUBSTITUTE(Network_Connections[[#This Row],[to]],"_",REPT("*",10)),10),"*","")</f>
        <v>Banking</v>
      </c>
      <c r="F275" s="3" t="str">
        <f>INDEX(Assets[Asset_ID],MATCH(Network_Connections[[#This Row],[From2]],Assets[name],0))</f>
        <v>A00009</v>
      </c>
      <c r="G275" s="3" t="s">
        <v>145</v>
      </c>
      <c r="H275" s="3" t="s">
        <v>144</v>
      </c>
      <c r="I275" s="3">
        <v>0</v>
      </c>
      <c r="J27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75" s="3" t="str">
        <f>RIGHT(Network_Connections[[#This Row],[port/protocol]],LEN(Network_Connections[[#This Row],[port/protocol]])-FIND("/",Network_Connections[[#This Row],[port/protocol]]))</f>
        <v>0-65535</v>
      </c>
      <c r="L275" s="3">
        <f t="shared" si="5"/>
        <v>0</v>
      </c>
    </row>
    <row r="276" spans="1:12" x14ac:dyDescent="0.2">
      <c r="A276" s="3" t="s">
        <v>159</v>
      </c>
      <c r="B276" s="3" t="str">
        <f xml:space="preserve"> SUBSTITUTE(RIGHT(SUBSTITUTE(Network_Connections[[#This Row],[from]],"_",REPT("*",10)),10),"*","")</f>
        <v>CRM</v>
      </c>
      <c r="C276" s="3" t="str">
        <f>INDEX(Assets[Asset_ID],MATCH(Network_Connections[[#This Row],[From1]],Assets[name],0))</f>
        <v>A00012</v>
      </c>
      <c r="D276" s="3" t="s">
        <v>161</v>
      </c>
      <c r="E276" s="3" t="str">
        <f xml:space="preserve"> SUBSTITUTE(RIGHT(SUBSTITUTE(Network_Connections[[#This Row],[to]],"_",REPT("*",10)),10),"*","")</f>
        <v>Email</v>
      </c>
      <c r="F276" s="3" t="str">
        <f>INDEX(Assets[Asset_ID],MATCH(Network_Connections[[#This Row],[From2]],Assets[name],0))</f>
        <v>A00010</v>
      </c>
      <c r="G276" s="3" t="s">
        <v>145</v>
      </c>
      <c r="H276" s="3" t="s">
        <v>144</v>
      </c>
      <c r="I276" s="3">
        <v>1</v>
      </c>
      <c r="J27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"A00012"-&gt;"A00010"@00:("IP", "0-65535");</v>
      </c>
      <c r="K276" s="3" t="str">
        <f>RIGHT(Network_Connections[[#This Row],[port/protocol]],LEN(Network_Connections[[#This Row],[port/protocol]])-FIND("/",Network_Connections[[#This Row],[port/protocol]]))</f>
        <v>0-65535</v>
      </c>
      <c r="L276" s="3">
        <f t="shared" si="5"/>
        <v>0</v>
      </c>
    </row>
    <row r="277" spans="1:12" x14ac:dyDescent="0.2">
      <c r="A277" s="3" t="s">
        <v>159</v>
      </c>
      <c r="B277" s="3" t="str">
        <f xml:space="preserve"> SUBSTITUTE(RIGHT(SUBSTITUTE(Network_Connections[[#This Row],[from]],"_",REPT("*",10)),10),"*","")</f>
        <v>CRM</v>
      </c>
      <c r="C277" s="3" t="str">
        <f>INDEX(Assets[Asset_ID],MATCH(Network_Connections[[#This Row],[From1]],Assets[name],0))</f>
        <v>A00012</v>
      </c>
      <c r="D277" s="3" t="s">
        <v>160</v>
      </c>
      <c r="E277" s="3" t="str">
        <f xml:space="preserve"> SUBSTITUTE(RIGHT(SUBSTITUTE(Network_Connections[[#This Row],[to]],"_",REPT("*",10)),10),"*","")</f>
        <v>WMS</v>
      </c>
      <c r="F277" s="3" t="str">
        <f>INDEX(Assets[Asset_ID],MATCH(Network_Connections[[#This Row],[From2]],Assets[name],0))</f>
        <v>A00011</v>
      </c>
      <c r="G277" s="3" t="s">
        <v>145</v>
      </c>
      <c r="H277" s="3" t="s">
        <v>144</v>
      </c>
      <c r="I277" s="3">
        <v>1</v>
      </c>
      <c r="J27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"A00012"-&gt;"A00011"@00:("IP", "0-65535");</v>
      </c>
      <c r="K277" s="3" t="str">
        <f>RIGHT(Network_Connections[[#This Row],[port/protocol]],LEN(Network_Connections[[#This Row],[port/protocol]])-FIND("/",Network_Connections[[#This Row],[port/protocol]]))</f>
        <v>0-65535</v>
      </c>
      <c r="L277" s="3">
        <f t="shared" si="5"/>
        <v>0</v>
      </c>
    </row>
    <row r="278" spans="1:12" x14ac:dyDescent="0.2">
      <c r="A278" s="3" t="s">
        <v>159</v>
      </c>
      <c r="B278" s="3" t="str">
        <f xml:space="preserve"> SUBSTITUTE(RIGHT(SUBSTITUTE(Network_Connections[[#This Row],[from]],"_",REPT("*",10)),10),"*","")</f>
        <v>CRM</v>
      </c>
      <c r="C278" s="3" t="str">
        <f>INDEX(Assets[Asset_ID],MATCH(Network_Connections[[#This Row],[From1]],Assets[name],0))</f>
        <v>A00012</v>
      </c>
      <c r="D278" s="3" t="s">
        <v>158</v>
      </c>
      <c r="E278" s="3" t="str">
        <f xml:space="preserve"> SUBSTITUTE(RIGHT(SUBSTITUTE(Network_Connections[[#This Row],[to]],"_",REPT("*",10)),10),"*","")</f>
        <v>WIFI1</v>
      </c>
      <c r="F278" s="3" t="str">
        <f>INDEX(Assets[Asset_ID],MATCH(Network_Connections[[#This Row],[From2]],Assets[name],0))</f>
        <v>A00013</v>
      </c>
      <c r="G278" s="3" t="s">
        <v>145</v>
      </c>
      <c r="H278" s="3" t="s">
        <v>144</v>
      </c>
      <c r="I278" s="3">
        <v>0</v>
      </c>
      <c r="J27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78" s="3" t="str">
        <f>RIGHT(Network_Connections[[#This Row],[port/protocol]],LEN(Network_Connections[[#This Row],[port/protocol]])-FIND("/",Network_Connections[[#This Row],[port/protocol]]))</f>
        <v>0-65535</v>
      </c>
      <c r="L278" s="3">
        <f t="shared" si="5"/>
        <v>0</v>
      </c>
    </row>
    <row r="279" spans="1:12" x14ac:dyDescent="0.2">
      <c r="A279" s="3" t="s">
        <v>159</v>
      </c>
      <c r="B279" s="3" t="str">
        <f xml:space="preserve"> SUBSTITUTE(RIGHT(SUBSTITUTE(Network_Connections[[#This Row],[from]],"_",REPT("*",10)),10),"*","")</f>
        <v>CRM</v>
      </c>
      <c r="C279" s="3" t="str">
        <f>INDEX(Assets[Asset_ID],MATCH(Network_Connections[[#This Row],[From1]],Assets[name],0))</f>
        <v>A00012</v>
      </c>
      <c r="D279" s="3" t="s">
        <v>157</v>
      </c>
      <c r="E279" s="3" t="str">
        <f xml:space="preserve"> SUBSTITUTE(RIGHT(SUBSTITUTE(Network_Connections[[#This Row],[to]],"_",REPT("*",10)),10),"*","")</f>
        <v>WS1</v>
      </c>
      <c r="F279" s="3" t="str">
        <f>INDEX(Assets[Asset_ID],MATCH(Network_Connections[[#This Row],[From2]],Assets[name],0))</f>
        <v>A00014</v>
      </c>
      <c r="G279" s="3" t="s">
        <v>145</v>
      </c>
      <c r="H279" s="3" t="s">
        <v>144</v>
      </c>
      <c r="I279" s="3">
        <v>0</v>
      </c>
      <c r="J27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79" s="3" t="str">
        <f>RIGHT(Network_Connections[[#This Row],[port/protocol]],LEN(Network_Connections[[#This Row],[port/protocol]])-FIND("/",Network_Connections[[#This Row],[port/protocol]]))</f>
        <v>0-65535</v>
      </c>
      <c r="L279" s="3">
        <f t="shared" si="5"/>
        <v>0</v>
      </c>
    </row>
    <row r="280" spans="1:12" x14ac:dyDescent="0.2">
      <c r="A280" s="3" t="s">
        <v>159</v>
      </c>
      <c r="B280" s="3" t="str">
        <f xml:space="preserve"> SUBSTITUTE(RIGHT(SUBSTITUTE(Network_Connections[[#This Row],[from]],"_",REPT("*",10)),10),"*","")</f>
        <v>CRM</v>
      </c>
      <c r="C280" s="3" t="str">
        <f>INDEX(Assets[Asset_ID],MATCH(Network_Connections[[#This Row],[From1]],Assets[name],0))</f>
        <v>A00012</v>
      </c>
      <c r="D280" s="3" t="s">
        <v>156</v>
      </c>
      <c r="E280" s="3" t="str">
        <f xml:space="preserve"> SUBSTITUTE(RIGHT(SUBSTITUTE(Network_Connections[[#This Row],[to]],"_",REPT("*",10)),10),"*","")</f>
        <v>FW3</v>
      </c>
      <c r="F280" s="3" t="str">
        <f>INDEX(Assets[Asset_ID],MATCH(Network_Connections[[#This Row],[From2]],Assets[name],0))</f>
        <v>A00015</v>
      </c>
      <c r="G280" s="3" t="s">
        <v>145</v>
      </c>
      <c r="H280" s="3" t="s">
        <v>144</v>
      </c>
      <c r="I280" s="3">
        <v>0</v>
      </c>
      <c r="J28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0" s="3" t="str">
        <f>RIGHT(Network_Connections[[#This Row],[port/protocol]],LEN(Network_Connections[[#This Row],[port/protocol]])-FIND("/",Network_Connections[[#This Row],[port/protocol]]))</f>
        <v>0-65535</v>
      </c>
      <c r="L280" s="3">
        <f t="shared" si="5"/>
        <v>0</v>
      </c>
    </row>
    <row r="281" spans="1:12" x14ac:dyDescent="0.2">
      <c r="A281" s="3" t="s">
        <v>159</v>
      </c>
      <c r="B281" s="3" t="str">
        <f xml:space="preserve"> SUBSTITUTE(RIGHT(SUBSTITUTE(Network_Connections[[#This Row],[from]],"_",REPT("*",10)),10),"*","")</f>
        <v>CRM</v>
      </c>
      <c r="C281" s="3" t="str">
        <f>INDEX(Assets[Asset_ID],MATCH(Network_Connections[[#This Row],[From1]],Assets[name],0))</f>
        <v>A00012</v>
      </c>
      <c r="D281" s="3" t="s">
        <v>155</v>
      </c>
      <c r="E281" s="3" t="str">
        <f xml:space="preserve"> SUBSTITUTE(RIGHT(SUBSTITUTE(Network_Connections[[#This Row],[to]],"_",REPT("*",10)),10),"*","")</f>
        <v>SW2</v>
      </c>
      <c r="F281" s="3" t="str">
        <f>INDEX(Assets[Asset_ID],MATCH(Network_Connections[[#This Row],[From2]],Assets[name],0))</f>
        <v>A00016</v>
      </c>
      <c r="G281" s="3" t="s">
        <v>145</v>
      </c>
      <c r="H281" s="3" t="s">
        <v>144</v>
      </c>
      <c r="I281" s="3">
        <v>0</v>
      </c>
      <c r="J28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1" s="3" t="str">
        <f>RIGHT(Network_Connections[[#This Row],[port/protocol]],LEN(Network_Connections[[#This Row],[port/protocol]])-FIND("/",Network_Connections[[#This Row],[port/protocol]]))</f>
        <v>0-65535</v>
      </c>
      <c r="L281" s="3">
        <f t="shared" si="5"/>
        <v>0</v>
      </c>
    </row>
    <row r="282" spans="1:12" x14ac:dyDescent="0.2">
      <c r="A282" s="3" t="s">
        <v>159</v>
      </c>
      <c r="B282" s="3" t="str">
        <f xml:space="preserve"> SUBSTITUTE(RIGHT(SUBSTITUTE(Network_Connections[[#This Row],[from]],"_",REPT("*",10)),10),"*","")</f>
        <v>CRM</v>
      </c>
      <c r="C282" s="3" t="str">
        <f>INDEX(Assets[Asset_ID],MATCH(Network_Connections[[#This Row],[From1]],Assets[name],0))</f>
        <v>A00012</v>
      </c>
      <c r="D282" s="3" t="s">
        <v>154</v>
      </c>
      <c r="E282" s="3" t="str">
        <f xml:space="preserve"> SUBSTITUTE(RIGHT(SUBSTITUTE(Network_Connections[[#This Row],[to]],"_",REPT("*",10)),10),"*","")</f>
        <v>WS2</v>
      </c>
      <c r="F282" s="3" t="str">
        <f>INDEX(Assets[Asset_ID],MATCH(Network_Connections[[#This Row],[From2]],Assets[name],0))</f>
        <v>A00017</v>
      </c>
      <c r="G282" s="3" t="s">
        <v>145</v>
      </c>
      <c r="H282" s="3" t="s">
        <v>144</v>
      </c>
      <c r="I282" s="3">
        <v>0</v>
      </c>
      <c r="J28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2" s="3" t="str">
        <f>RIGHT(Network_Connections[[#This Row],[port/protocol]],LEN(Network_Connections[[#This Row],[port/protocol]])-FIND("/",Network_Connections[[#This Row],[port/protocol]]))</f>
        <v>0-65535</v>
      </c>
      <c r="L282" s="3">
        <f t="shared" si="5"/>
        <v>0</v>
      </c>
    </row>
    <row r="283" spans="1:12" x14ac:dyDescent="0.2">
      <c r="A283" s="3" t="s">
        <v>159</v>
      </c>
      <c r="B283" s="3" t="str">
        <f xml:space="preserve"> SUBSTITUTE(RIGHT(SUBSTITUTE(Network_Connections[[#This Row],[from]],"_",REPT("*",10)),10),"*","")</f>
        <v>CRM</v>
      </c>
      <c r="C283" s="3" t="str">
        <f>INDEX(Assets[Asset_ID],MATCH(Network_Connections[[#This Row],[From1]],Assets[name],0))</f>
        <v>A00012</v>
      </c>
      <c r="D283" s="3" t="s">
        <v>153</v>
      </c>
      <c r="E283" s="3" t="str">
        <f xml:space="preserve"> SUBSTITUTE(RIGHT(SUBSTITUTE(Network_Connections[[#This Row],[to]],"_",REPT("*",10)),10),"*","")</f>
        <v>WS3</v>
      </c>
      <c r="F283" s="3" t="str">
        <f>INDEX(Assets[Asset_ID],MATCH(Network_Connections[[#This Row],[From2]],Assets[name],0))</f>
        <v>A00018</v>
      </c>
      <c r="G283" s="3" t="s">
        <v>145</v>
      </c>
      <c r="H283" s="3" t="s">
        <v>144</v>
      </c>
      <c r="I283" s="3">
        <v>0</v>
      </c>
      <c r="J28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3" s="3" t="str">
        <f>RIGHT(Network_Connections[[#This Row],[port/protocol]],LEN(Network_Connections[[#This Row],[port/protocol]])-FIND("/",Network_Connections[[#This Row],[port/protocol]]))</f>
        <v>0-65535</v>
      </c>
      <c r="L283" s="3">
        <f t="shared" si="5"/>
        <v>0</v>
      </c>
    </row>
    <row r="284" spans="1:12" x14ac:dyDescent="0.2">
      <c r="A284" s="3" t="s">
        <v>159</v>
      </c>
      <c r="B284" s="3" t="str">
        <f xml:space="preserve"> SUBSTITUTE(RIGHT(SUBSTITUTE(Network_Connections[[#This Row],[from]],"_",REPT("*",10)),10),"*","")</f>
        <v>CRM</v>
      </c>
      <c r="C284" s="3" t="str">
        <f>INDEX(Assets[Asset_ID],MATCH(Network_Connections[[#This Row],[From1]],Assets[name],0))</f>
        <v>A00012</v>
      </c>
      <c r="D284" s="3" t="s">
        <v>152</v>
      </c>
      <c r="E284" s="3" t="str">
        <f xml:space="preserve"> SUBSTITUTE(RIGHT(SUBSTITUTE(Network_Connections[[#This Row],[to]],"_",REPT("*",10)),10),"*","")</f>
        <v>WS4</v>
      </c>
      <c r="F284" s="3" t="str">
        <f>INDEX(Assets[Asset_ID],MATCH(Network_Connections[[#This Row],[From2]],Assets[name],0))</f>
        <v>A00019</v>
      </c>
      <c r="G284" s="3" t="s">
        <v>145</v>
      </c>
      <c r="H284" s="3" t="s">
        <v>144</v>
      </c>
      <c r="I284" s="3">
        <v>0</v>
      </c>
      <c r="J28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4" s="3" t="str">
        <f>RIGHT(Network_Connections[[#This Row],[port/protocol]],LEN(Network_Connections[[#This Row],[port/protocol]])-FIND("/",Network_Connections[[#This Row],[port/protocol]]))</f>
        <v>0-65535</v>
      </c>
      <c r="L284" s="3">
        <f t="shared" si="5"/>
        <v>0</v>
      </c>
    </row>
    <row r="285" spans="1:12" x14ac:dyDescent="0.2">
      <c r="A285" s="3" t="s">
        <v>159</v>
      </c>
      <c r="B285" s="3" t="str">
        <f xml:space="preserve"> SUBSTITUTE(RIGHT(SUBSTITUTE(Network_Connections[[#This Row],[from]],"_",REPT("*",10)),10),"*","")</f>
        <v>CRM</v>
      </c>
      <c r="C285" s="3" t="str">
        <f>INDEX(Assets[Asset_ID],MATCH(Network_Connections[[#This Row],[From1]],Assets[name],0))</f>
        <v>A00012</v>
      </c>
      <c r="D285" s="3" t="s">
        <v>151</v>
      </c>
      <c r="E285" s="3" t="str">
        <f xml:space="preserve"> SUBSTITUTE(RIGHT(SUBSTITUTE(Network_Connections[[#This Row],[to]],"_",REPT("*",10)),10),"*","")</f>
        <v>FW4</v>
      </c>
      <c r="F285" s="3" t="str">
        <f>INDEX(Assets[Asset_ID],MATCH(Network_Connections[[#This Row],[From2]],Assets[name],0))</f>
        <v>A00020</v>
      </c>
      <c r="G285" s="3" t="s">
        <v>145</v>
      </c>
      <c r="H285" s="3" t="s">
        <v>144</v>
      </c>
      <c r="I285" s="3">
        <v>0</v>
      </c>
      <c r="J28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5" s="3" t="str">
        <f>RIGHT(Network_Connections[[#This Row],[port/protocol]],LEN(Network_Connections[[#This Row],[port/protocol]])-FIND("/",Network_Connections[[#This Row],[port/protocol]]))</f>
        <v>0-65535</v>
      </c>
      <c r="L285" s="3">
        <f t="shared" si="5"/>
        <v>0</v>
      </c>
    </row>
    <row r="286" spans="1:12" x14ac:dyDescent="0.2">
      <c r="A286" s="3" t="s">
        <v>159</v>
      </c>
      <c r="B286" s="3" t="str">
        <f xml:space="preserve"> SUBSTITUTE(RIGHT(SUBSTITUTE(Network_Connections[[#This Row],[from]],"_",REPT("*",10)),10),"*","")</f>
        <v>CRM</v>
      </c>
      <c r="C286" s="3" t="str">
        <f>INDEX(Assets[Asset_ID],MATCH(Network_Connections[[#This Row],[From1]],Assets[name],0))</f>
        <v>A00012</v>
      </c>
      <c r="D286" s="3" t="s">
        <v>150</v>
      </c>
      <c r="E286" s="3" t="str">
        <f xml:space="preserve"> SUBSTITUTE(RIGHT(SUBSTITUTE(Network_Connections[[#This Row],[to]],"_",REPT("*",10)),10),"*","")</f>
        <v>WIFI2</v>
      </c>
      <c r="F286" s="3" t="str">
        <f>INDEX(Assets[Asset_ID],MATCH(Network_Connections[[#This Row],[From2]],Assets[name],0))</f>
        <v>A00021</v>
      </c>
      <c r="G286" s="3" t="s">
        <v>145</v>
      </c>
      <c r="H286" s="3" t="s">
        <v>144</v>
      </c>
      <c r="I286" s="3">
        <v>0</v>
      </c>
      <c r="J28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6" s="3" t="str">
        <f>RIGHT(Network_Connections[[#This Row],[port/protocol]],LEN(Network_Connections[[#This Row],[port/protocol]])-FIND("/",Network_Connections[[#This Row],[port/protocol]]))</f>
        <v>0-65535</v>
      </c>
      <c r="L286" s="3">
        <f t="shared" si="5"/>
        <v>0</v>
      </c>
    </row>
    <row r="287" spans="1:12" x14ac:dyDescent="0.2">
      <c r="A287" s="3" t="s">
        <v>159</v>
      </c>
      <c r="B287" s="3" t="str">
        <f xml:space="preserve"> SUBSTITUTE(RIGHT(SUBSTITUTE(Network_Connections[[#This Row],[from]],"_",REPT("*",10)),10),"*","")</f>
        <v>CRM</v>
      </c>
      <c r="C287" s="3" t="str">
        <f>INDEX(Assets[Asset_ID],MATCH(Network_Connections[[#This Row],[From1]],Assets[name],0))</f>
        <v>A00012</v>
      </c>
      <c r="D287" s="3" t="s">
        <v>149</v>
      </c>
      <c r="E287" s="3" t="str">
        <f xml:space="preserve"> SUBSTITUTE(RIGHT(SUBSTITUTE(Network_Connections[[#This Row],[to]],"_",REPT("*",10)),10),"*","")</f>
        <v>WS5</v>
      </c>
      <c r="F287" s="3" t="str">
        <f>INDEX(Assets[Asset_ID],MATCH(Network_Connections[[#This Row],[From2]],Assets[name],0))</f>
        <v>A00022</v>
      </c>
      <c r="G287" s="3" t="s">
        <v>145</v>
      </c>
      <c r="H287" s="3" t="s">
        <v>144</v>
      </c>
      <c r="I287" s="3">
        <v>0</v>
      </c>
      <c r="J28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7" s="3" t="str">
        <f>RIGHT(Network_Connections[[#This Row],[port/protocol]],LEN(Network_Connections[[#This Row],[port/protocol]])-FIND("/",Network_Connections[[#This Row],[port/protocol]]))</f>
        <v>0-65535</v>
      </c>
      <c r="L287" s="3">
        <f t="shared" si="5"/>
        <v>0</v>
      </c>
    </row>
    <row r="288" spans="1:12" x14ac:dyDescent="0.2">
      <c r="A288" s="3" t="s">
        <v>159</v>
      </c>
      <c r="B288" s="3" t="str">
        <f xml:space="preserve"> SUBSTITUTE(RIGHT(SUBSTITUTE(Network_Connections[[#This Row],[from]],"_",REPT("*",10)),10),"*","")</f>
        <v>CRM</v>
      </c>
      <c r="C288" s="3" t="str">
        <f>INDEX(Assets[Asset_ID],MATCH(Network_Connections[[#This Row],[From1]],Assets[name],0))</f>
        <v>A00012</v>
      </c>
      <c r="D288" s="3" t="s">
        <v>148</v>
      </c>
      <c r="E288" s="3" t="str">
        <f xml:space="preserve"> SUBSTITUTE(RIGHT(SUBSTITUTE(Network_Connections[[#This Row],[to]],"_",REPT("*",10)),10),"*","")</f>
        <v>WS6</v>
      </c>
      <c r="F288" s="3" t="str">
        <f>INDEX(Assets[Asset_ID],MATCH(Network_Connections[[#This Row],[From2]],Assets[name],0))</f>
        <v>A00023</v>
      </c>
      <c r="G288" s="3" t="s">
        <v>145</v>
      </c>
      <c r="H288" s="3" t="s">
        <v>144</v>
      </c>
      <c r="I288" s="3">
        <v>0</v>
      </c>
      <c r="J28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8" s="3" t="str">
        <f>RIGHT(Network_Connections[[#This Row],[port/protocol]],LEN(Network_Connections[[#This Row],[port/protocol]])-FIND("/",Network_Connections[[#This Row],[port/protocol]]))</f>
        <v>0-65535</v>
      </c>
      <c r="L288" s="3">
        <f t="shared" si="5"/>
        <v>0</v>
      </c>
    </row>
    <row r="289" spans="1:12" x14ac:dyDescent="0.2">
      <c r="A289" s="3" t="s">
        <v>159</v>
      </c>
      <c r="B289" s="3" t="str">
        <f xml:space="preserve"> SUBSTITUTE(RIGHT(SUBSTITUTE(Network_Connections[[#This Row],[from]],"_",REPT("*",10)),10),"*","")</f>
        <v>CRM</v>
      </c>
      <c r="C289" s="3" t="str">
        <f>INDEX(Assets[Asset_ID],MATCH(Network_Connections[[#This Row],[From1]],Assets[name],0))</f>
        <v>A00012</v>
      </c>
      <c r="D289" s="3" t="s">
        <v>146</v>
      </c>
      <c r="E289" s="3" t="str">
        <f xml:space="preserve"> SUBSTITUTE(RIGHT(SUBSTITUTE(Network_Connections[[#This Row],[to]],"_",REPT("*",10)),10),"*","")</f>
        <v>WS7</v>
      </c>
      <c r="F289" s="3" t="str">
        <f>INDEX(Assets[Asset_ID],MATCH(Network_Connections[[#This Row],[From2]],Assets[name],0))</f>
        <v>A00024</v>
      </c>
      <c r="G289" s="3" t="s">
        <v>145</v>
      </c>
      <c r="H289" s="3" t="s">
        <v>144</v>
      </c>
      <c r="I289" s="3">
        <v>0</v>
      </c>
      <c r="J28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89" s="3" t="str">
        <f>RIGHT(Network_Connections[[#This Row],[port/protocol]],LEN(Network_Connections[[#This Row],[port/protocol]])-FIND("/",Network_Connections[[#This Row],[port/protocol]]))</f>
        <v>0-65535</v>
      </c>
      <c r="L289" s="3">
        <f t="shared" si="5"/>
        <v>0</v>
      </c>
    </row>
    <row r="290" spans="1:12" x14ac:dyDescent="0.2">
      <c r="A290" s="3" t="s">
        <v>159</v>
      </c>
      <c r="B290" s="3" t="str">
        <f xml:space="preserve"> SUBSTITUTE(RIGHT(SUBSTITUTE(Network_Connections[[#This Row],[from]],"_",REPT("*",10)),10),"*","")</f>
        <v>CRM</v>
      </c>
      <c r="C290" s="3" t="str">
        <f>INDEX(Assets[Asset_ID],MATCH(Network_Connections[[#This Row],[From1]],Assets[name],0))</f>
        <v>A00012</v>
      </c>
      <c r="D290" s="3" t="s">
        <v>147</v>
      </c>
      <c r="E290" s="3" t="str">
        <f xml:space="preserve"> SUBSTITUTE(RIGHT(SUBSTITUTE(Network_Connections[[#This Row],[to]],"_",REPT("*",10)),10),"*","")</f>
        <v>WS8</v>
      </c>
      <c r="F290" s="3" t="str">
        <f>INDEX(Assets[Asset_ID],MATCH(Network_Connections[[#This Row],[From2]],Assets[name],0))</f>
        <v>A00025</v>
      </c>
      <c r="G290" s="3" t="s">
        <v>145</v>
      </c>
      <c r="H290" s="3" t="s">
        <v>144</v>
      </c>
      <c r="I290" s="3">
        <v>0</v>
      </c>
      <c r="J29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0" s="3" t="str">
        <f>RIGHT(Network_Connections[[#This Row],[port/protocol]],LEN(Network_Connections[[#This Row],[port/protocol]])-FIND("/",Network_Connections[[#This Row],[port/protocol]]))</f>
        <v>0-65535</v>
      </c>
      <c r="L290" s="3">
        <f t="shared" si="5"/>
        <v>0</v>
      </c>
    </row>
    <row r="291" spans="1:12" x14ac:dyDescent="0.2">
      <c r="A291" s="3" t="s">
        <v>158</v>
      </c>
      <c r="B291" s="3" t="str">
        <f xml:space="preserve"> SUBSTITUTE(RIGHT(SUBSTITUTE(Network_Connections[[#This Row],[from]],"_",REPT("*",10)),10),"*","")</f>
        <v>WIFI1</v>
      </c>
      <c r="C291" s="3" t="str">
        <f>INDEX(Assets[Asset_ID],MATCH(Network_Connections[[#This Row],[From1]],Assets[name],0))</f>
        <v>A00013</v>
      </c>
      <c r="D291" s="3" t="s">
        <v>171</v>
      </c>
      <c r="E291" s="3" t="str">
        <f xml:space="preserve"> SUBSTITUTE(RIGHT(SUBSTITUTE(Network_Connections[[#This Row],[to]],"_",REPT("*",10)),10),"*","")</f>
        <v>FW1</v>
      </c>
      <c r="F291" s="3" t="str">
        <f>INDEX(Assets[Asset_ID],MATCH(Network_Connections[[#This Row],[From2]],Assets[name],0))</f>
        <v>A00001</v>
      </c>
      <c r="G291" s="3" t="s">
        <v>145</v>
      </c>
      <c r="H291" s="3" t="s">
        <v>144</v>
      </c>
      <c r="I291" s="3">
        <v>0</v>
      </c>
      <c r="J29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1" s="3" t="str">
        <f>RIGHT(Network_Connections[[#This Row],[port/protocol]],LEN(Network_Connections[[#This Row],[port/protocol]])-FIND("/",Network_Connections[[#This Row],[port/protocol]]))</f>
        <v>0-65535</v>
      </c>
      <c r="L291" s="3">
        <f t="shared" si="5"/>
        <v>0</v>
      </c>
    </row>
    <row r="292" spans="1:12" x14ac:dyDescent="0.2">
      <c r="A292" s="3" t="s">
        <v>158</v>
      </c>
      <c r="B292" s="3" t="str">
        <f xml:space="preserve"> SUBSTITUTE(RIGHT(SUBSTITUTE(Network_Connections[[#This Row],[from]],"_",REPT("*",10)),10),"*","")</f>
        <v>WIFI1</v>
      </c>
      <c r="C292" s="3" t="str">
        <f>INDEX(Assets[Asset_ID],MATCH(Network_Connections[[#This Row],[From1]],Assets[name],0))</f>
        <v>A00013</v>
      </c>
      <c r="D292" s="3" t="s">
        <v>170</v>
      </c>
      <c r="E292" s="3" t="str">
        <f xml:space="preserve"> SUBSTITUTE(RIGHT(SUBSTITUTE(Network_Connections[[#This Row],[to]],"_",REPT("*",10)),10),"*","")</f>
        <v>VPNSRV</v>
      </c>
      <c r="F292" s="3" t="str">
        <f>INDEX(Assets[Asset_ID],MATCH(Network_Connections[[#This Row],[From2]],Assets[name],0))</f>
        <v>A00002</v>
      </c>
      <c r="G292" s="3" t="s">
        <v>145</v>
      </c>
      <c r="H292" s="3" t="s">
        <v>144</v>
      </c>
      <c r="I292" s="3">
        <v>0</v>
      </c>
      <c r="J29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2" s="3" t="str">
        <f>RIGHT(Network_Connections[[#This Row],[port/protocol]],LEN(Network_Connections[[#This Row],[port/protocol]])-FIND("/",Network_Connections[[#This Row],[port/protocol]]))</f>
        <v>0-65535</v>
      </c>
      <c r="L292" s="3">
        <f t="shared" si="5"/>
        <v>0</v>
      </c>
    </row>
    <row r="293" spans="1:12" x14ac:dyDescent="0.2">
      <c r="A293" s="3" t="s">
        <v>158</v>
      </c>
      <c r="B293" s="3" t="str">
        <f xml:space="preserve"> SUBSTITUTE(RIGHT(SUBSTITUTE(Network_Connections[[#This Row],[from]],"_",REPT("*",10)),10),"*","")</f>
        <v>WIFI1</v>
      </c>
      <c r="C293" s="3" t="str">
        <f>INDEX(Assets[Asset_ID],MATCH(Network_Connections[[#This Row],[From1]],Assets[name],0))</f>
        <v>A00013</v>
      </c>
      <c r="D293" s="3" t="s">
        <v>169</v>
      </c>
      <c r="E293" s="3" t="str">
        <f xml:space="preserve"> SUBSTITUTE(RIGHT(SUBSTITUTE(Network_Connections[[#This Row],[to]],"_",REPT("*",10)),10),"*","")</f>
        <v>WebSRV1</v>
      </c>
      <c r="F293" s="3" t="str">
        <f>INDEX(Assets[Asset_ID],MATCH(Network_Connections[[#This Row],[From2]],Assets[name],0))</f>
        <v>A00003</v>
      </c>
      <c r="G293" s="3" t="s">
        <v>145</v>
      </c>
      <c r="H293" s="3" t="s">
        <v>144</v>
      </c>
      <c r="I293" s="3">
        <v>0</v>
      </c>
      <c r="J29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3" s="3" t="str">
        <f>RIGHT(Network_Connections[[#This Row],[port/protocol]],LEN(Network_Connections[[#This Row],[port/protocol]])-FIND("/",Network_Connections[[#This Row],[port/protocol]]))</f>
        <v>0-65535</v>
      </c>
      <c r="L293" s="3">
        <f t="shared" si="5"/>
        <v>0</v>
      </c>
    </row>
    <row r="294" spans="1:12" x14ac:dyDescent="0.2">
      <c r="A294" s="3" t="s">
        <v>158</v>
      </c>
      <c r="B294" s="3" t="str">
        <f xml:space="preserve"> SUBSTITUTE(RIGHT(SUBSTITUTE(Network_Connections[[#This Row],[from]],"_",REPT("*",10)),10),"*","")</f>
        <v>WIFI1</v>
      </c>
      <c r="C294" s="3" t="str">
        <f>INDEX(Assets[Asset_ID],MATCH(Network_Connections[[#This Row],[From1]],Assets[name],0))</f>
        <v>A00013</v>
      </c>
      <c r="D294" s="3" t="s">
        <v>168</v>
      </c>
      <c r="E294" s="3" t="str">
        <f xml:space="preserve"> SUBSTITUTE(RIGHT(SUBSTITUTE(Network_Connections[[#This Row],[to]],"_",REPT("*",10)),10),"*","")</f>
        <v>WebSRV2</v>
      </c>
      <c r="F294" s="3" t="str">
        <f>INDEX(Assets[Asset_ID],MATCH(Network_Connections[[#This Row],[From2]],Assets[name],0))</f>
        <v>A00004</v>
      </c>
      <c r="G294" s="3" t="s">
        <v>145</v>
      </c>
      <c r="H294" s="3" t="s">
        <v>144</v>
      </c>
      <c r="I294" s="3">
        <v>0</v>
      </c>
      <c r="J29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4" s="3" t="str">
        <f>RIGHT(Network_Connections[[#This Row],[port/protocol]],LEN(Network_Connections[[#This Row],[port/protocol]])-FIND("/",Network_Connections[[#This Row],[port/protocol]]))</f>
        <v>0-65535</v>
      </c>
      <c r="L294" s="3">
        <f t="shared" si="5"/>
        <v>0</v>
      </c>
    </row>
    <row r="295" spans="1:12" x14ac:dyDescent="0.2">
      <c r="A295" s="3" t="s">
        <v>158</v>
      </c>
      <c r="B295" s="3" t="str">
        <f xml:space="preserve"> SUBSTITUTE(RIGHT(SUBSTITUTE(Network_Connections[[#This Row],[from]],"_",REPT("*",10)),10),"*","")</f>
        <v>WIFI1</v>
      </c>
      <c r="C295" s="3" t="str">
        <f>INDEX(Assets[Asset_ID],MATCH(Network_Connections[[#This Row],[From1]],Assets[name],0))</f>
        <v>A00013</v>
      </c>
      <c r="D295" s="3" t="s">
        <v>166</v>
      </c>
      <c r="E295" s="3" t="str">
        <f xml:space="preserve"> SUBSTITUTE(RIGHT(SUBSTITUTE(Network_Connections[[#This Row],[to]],"_",REPT("*",10)),10),"*","")</f>
        <v>FW2</v>
      </c>
      <c r="F295" s="3" t="str">
        <f>INDEX(Assets[Asset_ID],MATCH(Network_Connections[[#This Row],[From2]],Assets[name],0))</f>
        <v>A00005</v>
      </c>
      <c r="G295" s="3" t="s">
        <v>145</v>
      </c>
      <c r="H295" s="3" t="s">
        <v>144</v>
      </c>
      <c r="I295" s="3">
        <v>0</v>
      </c>
      <c r="J29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5" s="3" t="str">
        <f>RIGHT(Network_Connections[[#This Row],[port/protocol]],LEN(Network_Connections[[#This Row],[port/protocol]])-FIND("/",Network_Connections[[#This Row],[port/protocol]]))</f>
        <v>0-65535</v>
      </c>
      <c r="L295" s="3">
        <f t="shared" si="5"/>
        <v>0</v>
      </c>
    </row>
    <row r="296" spans="1:12" x14ac:dyDescent="0.2">
      <c r="A296" s="3" t="s">
        <v>158</v>
      </c>
      <c r="B296" s="3" t="str">
        <f xml:space="preserve"> SUBSTITUTE(RIGHT(SUBSTITUTE(Network_Connections[[#This Row],[from]],"_",REPT("*",10)),10),"*","")</f>
        <v>WIFI1</v>
      </c>
      <c r="C296" s="3" t="str">
        <f>INDEX(Assets[Asset_ID],MATCH(Network_Connections[[#This Row],[From1]],Assets[name],0))</f>
        <v>A00013</v>
      </c>
      <c r="D296" s="3" t="s">
        <v>165</v>
      </c>
      <c r="E296" s="3" t="str">
        <f xml:space="preserve"> SUBSTITUTE(RIGHT(SUBSTITUTE(Network_Connections[[#This Row],[to]],"_",REPT("*",10)),10),"*","")</f>
        <v>SW1</v>
      </c>
      <c r="F296" s="3" t="str">
        <f>INDEX(Assets[Asset_ID],MATCH(Network_Connections[[#This Row],[From2]],Assets[name],0))</f>
        <v>A00006</v>
      </c>
      <c r="G296" s="3" t="s">
        <v>145</v>
      </c>
      <c r="H296" s="3" t="s">
        <v>144</v>
      </c>
      <c r="I296" s="3">
        <v>0</v>
      </c>
      <c r="J29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6" s="3" t="str">
        <f>RIGHT(Network_Connections[[#This Row],[port/protocol]],LEN(Network_Connections[[#This Row],[port/protocol]])-FIND("/",Network_Connections[[#This Row],[port/protocol]]))</f>
        <v>0-65535</v>
      </c>
      <c r="L296" s="3">
        <f t="shared" si="5"/>
        <v>0</v>
      </c>
    </row>
    <row r="297" spans="1:12" x14ac:dyDescent="0.2">
      <c r="A297" s="3" t="s">
        <v>158</v>
      </c>
      <c r="B297" s="3" t="str">
        <f xml:space="preserve"> SUBSTITUTE(RIGHT(SUBSTITUTE(Network_Connections[[#This Row],[from]],"_",REPT("*",10)),10),"*","")</f>
        <v>WIFI1</v>
      </c>
      <c r="C297" s="3" t="str">
        <f>INDEX(Assets[Asset_ID],MATCH(Network_Connections[[#This Row],[From1]],Assets[name],0))</f>
        <v>A00013</v>
      </c>
      <c r="D297" s="3" t="s">
        <v>164</v>
      </c>
      <c r="E297" s="3" t="str">
        <f xml:space="preserve"> SUBSTITUTE(RIGHT(SUBSTITUTE(Network_Connections[[#This Row],[to]],"_",REPT("*",10)),10),"*","")</f>
        <v>AD</v>
      </c>
      <c r="F297" s="3" t="str">
        <f>INDEX(Assets[Asset_ID],MATCH(Network_Connections[[#This Row],[From2]],Assets[name],0))</f>
        <v>A00007</v>
      </c>
      <c r="G297" s="3" t="s">
        <v>145</v>
      </c>
      <c r="H297" s="3" t="s">
        <v>144</v>
      </c>
      <c r="I297" s="3">
        <v>0</v>
      </c>
      <c r="J29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7" s="3" t="str">
        <f>RIGHT(Network_Connections[[#This Row],[port/protocol]],LEN(Network_Connections[[#This Row],[port/protocol]])-FIND("/",Network_Connections[[#This Row],[port/protocol]]))</f>
        <v>0-65535</v>
      </c>
      <c r="L297" s="3">
        <f t="shared" si="5"/>
        <v>0</v>
      </c>
    </row>
    <row r="298" spans="1:12" x14ac:dyDescent="0.2">
      <c r="A298" s="3" t="s">
        <v>158</v>
      </c>
      <c r="B298" s="3" t="str">
        <f xml:space="preserve"> SUBSTITUTE(RIGHT(SUBSTITUTE(Network_Connections[[#This Row],[from]],"_",REPT("*",10)),10),"*","")</f>
        <v>WIFI1</v>
      </c>
      <c r="C298" s="3" t="str">
        <f>INDEX(Assets[Asset_ID],MATCH(Network_Connections[[#This Row],[From1]],Assets[name],0))</f>
        <v>A00013</v>
      </c>
      <c r="D298" s="3" t="s">
        <v>163</v>
      </c>
      <c r="E298" s="3" t="str">
        <f xml:space="preserve"> SUBSTITUTE(RIGHT(SUBSTITUTE(Network_Connections[[#This Row],[to]],"_",REPT("*",10)),10),"*","")</f>
        <v>ERP</v>
      </c>
      <c r="F298" s="3" t="str">
        <f>INDEX(Assets[Asset_ID],MATCH(Network_Connections[[#This Row],[From2]],Assets[name],0))</f>
        <v>A00008</v>
      </c>
      <c r="G298" s="3" t="s">
        <v>145</v>
      </c>
      <c r="H298" s="3" t="s">
        <v>144</v>
      </c>
      <c r="I298" s="3">
        <v>0</v>
      </c>
      <c r="J29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8" s="3" t="str">
        <f>RIGHT(Network_Connections[[#This Row],[port/protocol]],LEN(Network_Connections[[#This Row],[port/protocol]])-FIND("/",Network_Connections[[#This Row],[port/protocol]]))</f>
        <v>0-65535</v>
      </c>
      <c r="L298" s="3">
        <f t="shared" si="5"/>
        <v>0</v>
      </c>
    </row>
    <row r="299" spans="1:12" x14ac:dyDescent="0.2">
      <c r="A299" s="3" t="s">
        <v>158</v>
      </c>
      <c r="B299" s="3" t="str">
        <f xml:space="preserve"> SUBSTITUTE(RIGHT(SUBSTITUTE(Network_Connections[[#This Row],[from]],"_",REPT("*",10)),10),"*","")</f>
        <v>WIFI1</v>
      </c>
      <c r="C299" s="3" t="str">
        <f>INDEX(Assets[Asset_ID],MATCH(Network_Connections[[#This Row],[From1]],Assets[name],0))</f>
        <v>A00013</v>
      </c>
      <c r="D299" s="3" t="s">
        <v>162</v>
      </c>
      <c r="E299" s="3" t="str">
        <f xml:space="preserve"> SUBSTITUTE(RIGHT(SUBSTITUTE(Network_Connections[[#This Row],[to]],"_",REPT("*",10)),10),"*","")</f>
        <v>Banking</v>
      </c>
      <c r="F299" s="3" t="str">
        <f>INDEX(Assets[Asset_ID],MATCH(Network_Connections[[#This Row],[From2]],Assets[name],0))</f>
        <v>A00009</v>
      </c>
      <c r="G299" s="3" t="s">
        <v>145</v>
      </c>
      <c r="H299" s="3" t="s">
        <v>144</v>
      </c>
      <c r="I299" s="3">
        <v>0</v>
      </c>
      <c r="J29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299" s="3" t="str">
        <f>RIGHT(Network_Connections[[#This Row],[port/protocol]],LEN(Network_Connections[[#This Row],[port/protocol]])-FIND("/",Network_Connections[[#This Row],[port/protocol]]))</f>
        <v>0-65535</v>
      </c>
      <c r="L299" s="3">
        <f t="shared" si="5"/>
        <v>0</v>
      </c>
    </row>
    <row r="300" spans="1:12" x14ac:dyDescent="0.2">
      <c r="A300" s="3" t="s">
        <v>158</v>
      </c>
      <c r="B300" s="3" t="str">
        <f xml:space="preserve"> SUBSTITUTE(RIGHT(SUBSTITUTE(Network_Connections[[#This Row],[from]],"_",REPT("*",10)),10),"*","")</f>
        <v>WIFI1</v>
      </c>
      <c r="C300" s="3" t="str">
        <f>INDEX(Assets[Asset_ID],MATCH(Network_Connections[[#This Row],[From1]],Assets[name],0))</f>
        <v>A00013</v>
      </c>
      <c r="D300" s="3" t="s">
        <v>161</v>
      </c>
      <c r="E300" s="3" t="str">
        <f xml:space="preserve"> SUBSTITUTE(RIGHT(SUBSTITUTE(Network_Connections[[#This Row],[to]],"_",REPT("*",10)),10),"*","")</f>
        <v>Email</v>
      </c>
      <c r="F300" s="3" t="str">
        <f>INDEX(Assets[Asset_ID],MATCH(Network_Connections[[#This Row],[From2]],Assets[name],0))</f>
        <v>A00010</v>
      </c>
      <c r="G300" s="3" t="s">
        <v>145</v>
      </c>
      <c r="H300" s="3" t="s">
        <v>144</v>
      </c>
      <c r="I300" s="3">
        <v>0</v>
      </c>
      <c r="J30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0" s="3" t="str">
        <f>RIGHT(Network_Connections[[#This Row],[port/protocol]],LEN(Network_Connections[[#This Row],[port/protocol]])-FIND("/",Network_Connections[[#This Row],[port/protocol]]))</f>
        <v>0-65535</v>
      </c>
      <c r="L300" s="3">
        <f t="shared" si="5"/>
        <v>0</v>
      </c>
    </row>
    <row r="301" spans="1:12" x14ac:dyDescent="0.2">
      <c r="A301" s="3" t="s">
        <v>158</v>
      </c>
      <c r="B301" s="3" t="str">
        <f xml:space="preserve"> SUBSTITUTE(RIGHT(SUBSTITUTE(Network_Connections[[#This Row],[from]],"_",REPT("*",10)),10),"*","")</f>
        <v>WIFI1</v>
      </c>
      <c r="C301" s="3" t="str">
        <f>INDEX(Assets[Asset_ID],MATCH(Network_Connections[[#This Row],[From1]],Assets[name],0))</f>
        <v>A00013</v>
      </c>
      <c r="D301" s="3" t="s">
        <v>160</v>
      </c>
      <c r="E301" s="3" t="str">
        <f xml:space="preserve"> SUBSTITUTE(RIGHT(SUBSTITUTE(Network_Connections[[#This Row],[to]],"_",REPT("*",10)),10),"*","")</f>
        <v>WMS</v>
      </c>
      <c r="F301" s="3" t="str">
        <f>INDEX(Assets[Asset_ID],MATCH(Network_Connections[[#This Row],[From2]],Assets[name],0))</f>
        <v>A00011</v>
      </c>
      <c r="G301" s="3" t="s">
        <v>145</v>
      </c>
      <c r="H301" s="3" t="s">
        <v>144</v>
      </c>
      <c r="I301" s="3">
        <v>0</v>
      </c>
      <c r="J30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1" s="3" t="str">
        <f>RIGHT(Network_Connections[[#This Row],[port/protocol]],LEN(Network_Connections[[#This Row],[port/protocol]])-FIND("/",Network_Connections[[#This Row],[port/protocol]]))</f>
        <v>0-65535</v>
      </c>
      <c r="L301" s="3">
        <f t="shared" si="5"/>
        <v>0</v>
      </c>
    </row>
    <row r="302" spans="1:12" x14ac:dyDescent="0.2">
      <c r="A302" s="3" t="s">
        <v>158</v>
      </c>
      <c r="B302" s="3" t="str">
        <f xml:space="preserve"> SUBSTITUTE(RIGHT(SUBSTITUTE(Network_Connections[[#This Row],[from]],"_",REPT("*",10)),10),"*","")</f>
        <v>WIFI1</v>
      </c>
      <c r="C302" s="3" t="str">
        <f>INDEX(Assets[Asset_ID],MATCH(Network_Connections[[#This Row],[From1]],Assets[name],0))</f>
        <v>A00013</v>
      </c>
      <c r="D302" s="3" t="s">
        <v>159</v>
      </c>
      <c r="E302" s="3" t="str">
        <f xml:space="preserve"> SUBSTITUTE(RIGHT(SUBSTITUTE(Network_Connections[[#This Row],[to]],"_",REPT("*",10)),10),"*","")</f>
        <v>CRM</v>
      </c>
      <c r="F302" s="3" t="str">
        <f>INDEX(Assets[Asset_ID],MATCH(Network_Connections[[#This Row],[From2]],Assets[name],0))</f>
        <v>A00012</v>
      </c>
      <c r="G302" s="3" t="s">
        <v>145</v>
      </c>
      <c r="H302" s="3" t="s">
        <v>144</v>
      </c>
      <c r="I302" s="3">
        <v>0</v>
      </c>
      <c r="J30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2" s="3" t="str">
        <f>RIGHT(Network_Connections[[#This Row],[port/protocol]],LEN(Network_Connections[[#This Row],[port/protocol]])-FIND("/",Network_Connections[[#This Row],[port/protocol]]))</f>
        <v>0-65535</v>
      </c>
      <c r="L302" s="3">
        <f t="shared" si="5"/>
        <v>0</v>
      </c>
    </row>
    <row r="303" spans="1:12" x14ac:dyDescent="0.2">
      <c r="A303" s="3" t="s">
        <v>158</v>
      </c>
      <c r="B303" s="3" t="str">
        <f xml:space="preserve"> SUBSTITUTE(RIGHT(SUBSTITUTE(Network_Connections[[#This Row],[from]],"_",REPT("*",10)),10),"*","")</f>
        <v>WIFI1</v>
      </c>
      <c r="C303" s="3" t="str">
        <f>INDEX(Assets[Asset_ID],MATCH(Network_Connections[[#This Row],[From1]],Assets[name],0))</f>
        <v>A00013</v>
      </c>
      <c r="D303" s="3" t="s">
        <v>157</v>
      </c>
      <c r="E303" s="3" t="str">
        <f xml:space="preserve"> SUBSTITUTE(RIGHT(SUBSTITUTE(Network_Connections[[#This Row],[to]],"_",REPT("*",10)),10),"*","")</f>
        <v>WS1</v>
      </c>
      <c r="F303" s="3" t="str">
        <f>INDEX(Assets[Asset_ID],MATCH(Network_Connections[[#This Row],[From2]],Assets[name],0))</f>
        <v>A00014</v>
      </c>
      <c r="G303" s="3" t="s">
        <v>145</v>
      </c>
      <c r="H303" s="3" t="s">
        <v>144</v>
      </c>
      <c r="I303" s="3">
        <v>1</v>
      </c>
      <c r="J30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"A00013"-&gt;"A00014"@00:("IP", "0-65535");</v>
      </c>
      <c r="K303" s="3" t="str">
        <f>RIGHT(Network_Connections[[#This Row],[port/protocol]],LEN(Network_Connections[[#This Row],[port/protocol]])-FIND("/",Network_Connections[[#This Row],[port/protocol]]))</f>
        <v>0-65535</v>
      </c>
      <c r="L303" s="3">
        <f t="shared" si="5"/>
        <v>0</v>
      </c>
    </row>
    <row r="304" spans="1:12" x14ac:dyDescent="0.2">
      <c r="A304" s="3" t="s">
        <v>158</v>
      </c>
      <c r="B304" s="3" t="str">
        <f xml:space="preserve"> SUBSTITUTE(RIGHT(SUBSTITUTE(Network_Connections[[#This Row],[from]],"_",REPT("*",10)),10),"*","")</f>
        <v>WIFI1</v>
      </c>
      <c r="C304" s="3" t="str">
        <f>INDEX(Assets[Asset_ID],MATCH(Network_Connections[[#This Row],[From1]],Assets[name],0))</f>
        <v>A00013</v>
      </c>
      <c r="D304" s="3" t="s">
        <v>156</v>
      </c>
      <c r="E304" s="3" t="str">
        <f xml:space="preserve"> SUBSTITUTE(RIGHT(SUBSTITUTE(Network_Connections[[#This Row],[to]],"_",REPT("*",10)),10),"*","")</f>
        <v>FW3</v>
      </c>
      <c r="F304" s="3" t="str">
        <f>INDEX(Assets[Asset_ID],MATCH(Network_Connections[[#This Row],[From2]],Assets[name],0))</f>
        <v>A00015</v>
      </c>
      <c r="G304" s="3" t="s">
        <v>145</v>
      </c>
      <c r="H304" s="3" t="s">
        <v>144</v>
      </c>
      <c r="I304" s="3">
        <v>1</v>
      </c>
      <c r="J30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"A00013"-&gt;"A00015"@00:("IP", "0-65535");</v>
      </c>
      <c r="K304" s="3" t="str">
        <f>RIGHT(Network_Connections[[#This Row],[port/protocol]],LEN(Network_Connections[[#This Row],[port/protocol]])-FIND("/",Network_Connections[[#This Row],[port/protocol]]))</f>
        <v>0-65535</v>
      </c>
      <c r="L304" s="3">
        <f t="shared" si="5"/>
        <v>0</v>
      </c>
    </row>
    <row r="305" spans="1:12" x14ac:dyDescent="0.2">
      <c r="A305" s="3" t="s">
        <v>158</v>
      </c>
      <c r="B305" s="3" t="str">
        <f xml:space="preserve"> SUBSTITUTE(RIGHT(SUBSTITUTE(Network_Connections[[#This Row],[from]],"_",REPT("*",10)),10),"*","")</f>
        <v>WIFI1</v>
      </c>
      <c r="C305" s="3" t="str">
        <f>INDEX(Assets[Asset_ID],MATCH(Network_Connections[[#This Row],[From1]],Assets[name],0))</f>
        <v>A00013</v>
      </c>
      <c r="D305" s="3" t="s">
        <v>155</v>
      </c>
      <c r="E305" s="3" t="str">
        <f xml:space="preserve"> SUBSTITUTE(RIGHT(SUBSTITUTE(Network_Connections[[#This Row],[to]],"_",REPT("*",10)),10),"*","")</f>
        <v>SW2</v>
      </c>
      <c r="F305" s="3" t="str">
        <f>INDEX(Assets[Asset_ID],MATCH(Network_Connections[[#This Row],[From2]],Assets[name],0))</f>
        <v>A00016</v>
      </c>
      <c r="G305" s="3" t="s">
        <v>145</v>
      </c>
      <c r="H305" s="3" t="s">
        <v>144</v>
      </c>
      <c r="I305" s="3">
        <v>0</v>
      </c>
      <c r="J30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5" s="3" t="str">
        <f>RIGHT(Network_Connections[[#This Row],[port/protocol]],LEN(Network_Connections[[#This Row],[port/protocol]])-FIND("/",Network_Connections[[#This Row],[port/protocol]]))</f>
        <v>0-65535</v>
      </c>
      <c r="L305" s="3">
        <f t="shared" si="5"/>
        <v>0</v>
      </c>
    </row>
    <row r="306" spans="1:12" x14ac:dyDescent="0.2">
      <c r="A306" s="3" t="s">
        <v>158</v>
      </c>
      <c r="B306" s="3" t="str">
        <f xml:space="preserve"> SUBSTITUTE(RIGHT(SUBSTITUTE(Network_Connections[[#This Row],[from]],"_",REPT("*",10)),10),"*","")</f>
        <v>WIFI1</v>
      </c>
      <c r="C306" s="3" t="str">
        <f>INDEX(Assets[Asset_ID],MATCH(Network_Connections[[#This Row],[From1]],Assets[name],0))</f>
        <v>A00013</v>
      </c>
      <c r="D306" s="3" t="s">
        <v>154</v>
      </c>
      <c r="E306" s="3" t="str">
        <f xml:space="preserve"> SUBSTITUTE(RIGHT(SUBSTITUTE(Network_Connections[[#This Row],[to]],"_",REPT("*",10)),10),"*","")</f>
        <v>WS2</v>
      </c>
      <c r="F306" s="3" t="str">
        <f>INDEX(Assets[Asset_ID],MATCH(Network_Connections[[#This Row],[From2]],Assets[name],0))</f>
        <v>A00017</v>
      </c>
      <c r="G306" s="3" t="s">
        <v>145</v>
      </c>
      <c r="H306" s="3" t="s">
        <v>144</v>
      </c>
      <c r="I306" s="3">
        <v>0</v>
      </c>
      <c r="J30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6" s="3" t="str">
        <f>RIGHT(Network_Connections[[#This Row],[port/protocol]],LEN(Network_Connections[[#This Row],[port/protocol]])-FIND("/",Network_Connections[[#This Row],[port/protocol]]))</f>
        <v>0-65535</v>
      </c>
      <c r="L306" s="3">
        <f t="shared" si="5"/>
        <v>0</v>
      </c>
    </row>
    <row r="307" spans="1:12" x14ac:dyDescent="0.2">
      <c r="A307" s="3" t="s">
        <v>158</v>
      </c>
      <c r="B307" s="3" t="str">
        <f xml:space="preserve"> SUBSTITUTE(RIGHT(SUBSTITUTE(Network_Connections[[#This Row],[from]],"_",REPT("*",10)),10),"*","")</f>
        <v>WIFI1</v>
      </c>
      <c r="C307" s="3" t="str">
        <f>INDEX(Assets[Asset_ID],MATCH(Network_Connections[[#This Row],[From1]],Assets[name],0))</f>
        <v>A00013</v>
      </c>
      <c r="D307" s="3" t="s">
        <v>153</v>
      </c>
      <c r="E307" s="3" t="str">
        <f xml:space="preserve"> SUBSTITUTE(RIGHT(SUBSTITUTE(Network_Connections[[#This Row],[to]],"_",REPT("*",10)),10),"*","")</f>
        <v>WS3</v>
      </c>
      <c r="F307" s="3" t="str">
        <f>INDEX(Assets[Asset_ID],MATCH(Network_Connections[[#This Row],[From2]],Assets[name],0))</f>
        <v>A00018</v>
      </c>
      <c r="G307" s="3" t="s">
        <v>145</v>
      </c>
      <c r="H307" s="3" t="s">
        <v>144</v>
      </c>
      <c r="I307" s="3">
        <v>0</v>
      </c>
      <c r="J30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7" s="3" t="str">
        <f>RIGHT(Network_Connections[[#This Row],[port/protocol]],LEN(Network_Connections[[#This Row],[port/protocol]])-FIND("/",Network_Connections[[#This Row],[port/protocol]]))</f>
        <v>0-65535</v>
      </c>
      <c r="L307" s="3">
        <f t="shared" si="5"/>
        <v>0</v>
      </c>
    </row>
    <row r="308" spans="1:12" x14ac:dyDescent="0.2">
      <c r="A308" s="3" t="s">
        <v>158</v>
      </c>
      <c r="B308" s="3" t="str">
        <f xml:space="preserve"> SUBSTITUTE(RIGHT(SUBSTITUTE(Network_Connections[[#This Row],[from]],"_",REPT("*",10)),10),"*","")</f>
        <v>WIFI1</v>
      </c>
      <c r="C308" s="3" t="str">
        <f>INDEX(Assets[Asset_ID],MATCH(Network_Connections[[#This Row],[From1]],Assets[name],0))</f>
        <v>A00013</v>
      </c>
      <c r="D308" s="3" t="s">
        <v>152</v>
      </c>
      <c r="E308" s="3" t="str">
        <f xml:space="preserve"> SUBSTITUTE(RIGHT(SUBSTITUTE(Network_Connections[[#This Row],[to]],"_",REPT("*",10)),10),"*","")</f>
        <v>WS4</v>
      </c>
      <c r="F308" s="3" t="str">
        <f>INDEX(Assets[Asset_ID],MATCH(Network_Connections[[#This Row],[From2]],Assets[name],0))</f>
        <v>A00019</v>
      </c>
      <c r="G308" s="3" t="s">
        <v>145</v>
      </c>
      <c r="H308" s="3" t="s">
        <v>144</v>
      </c>
      <c r="I308" s="3">
        <v>0</v>
      </c>
      <c r="J30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8" s="3" t="str">
        <f>RIGHT(Network_Connections[[#This Row],[port/protocol]],LEN(Network_Connections[[#This Row],[port/protocol]])-FIND("/",Network_Connections[[#This Row],[port/protocol]]))</f>
        <v>0-65535</v>
      </c>
      <c r="L308" s="3">
        <f t="shared" si="5"/>
        <v>0</v>
      </c>
    </row>
    <row r="309" spans="1:12" x14ac:dyDescent="0.2">
      <c r="A309" s="3" t="s">
        <v>158</v>
      </c>
      <c r="B309" s="3" t="str">
        <f xml:space="preserve"> SUBSTITUTE(RIGHT(SUBSTITUTE(Network_Connections[[#This Row],[from]],"_",REPT("*",10)),10),"*","")</f>
        <v>WIFI1</v>
      </c>
      <c r="C309" s="3" t="str">
        <f>INDEX(Assets[Asset_ID],MATCH(Network_Connections[[#This Row],[From1]],Assets[name],0))</f>
        <v>A00013</v>
      </c>
      <c r="D309" s="3" t="s">
        <v>151</v>
      </c>
      <c r="E309" s="3" t="str">
        <f xml:space="preserve"> SUBSTITUTE(RIGHT(SUBSTITUTE(Network_Connections[[#This Row],[to]],"_",REPT("*",10)),10),"*","")</f>
        <v>FW4</v>
      </c>
      <c r="F309" s="3" t="str">
        <f>INDEX(Assets[Asset_ID],MATCH(Network_Connections[[#This Row],[From2]],Assets[name],0))</f>
        <v>A00020</v>
      </c>
      <c r="G309" s="3" t="s">
        <v>145</v>
      </c>
      <c r="H309" s="3" t="s">
        <v>144</v>
      </c>
      <c r="I309" s="3">
        <v>0</v>
      </c>
      <c r="J30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09" s="3" t="str">
        <f>RIGHT(Network_Connections[[#This Row],[port/protocol]],LEN(Network_Connections[[#This Row],[port/protocol]])-FIND("/",Network_Connections[[#This Row],[port/protocol]]))</f>
        <v>0-65535</v>
      </c>
      <c r="L309" s="3">
        <f t="shared" si="5"/>
        <v>0</v>
      </c>
    </row>
    <row r="310" spans="1:12" x14ac:dyDescent="0.2">
      <c r="A310" s="3" t="s">
        <v>158</v>
      </c>
      <c r="B310" s="3" t="str">
        <f xml:space="preserve"> SUBSTITUTE(RIGHT(SUBSTITUTE(Network_Connections[[#This Row],[from]],"_",REPT("*",10)),10),"*","")</f>
        <v>WIFI1</v>
      </c>
      <c r="C310" s="3" t="str">
        <f>INDEX(Assets[Asset_ID],MATCH(Network_Connections[[#This Row],[From1]],Assets[name],0))</f>
        <v>A00013</v>
      </c>
      <c r="D310" s="3" t="s">
        <v>150</v>
      </c>
      <c r="E310" s="3" t="str">
        <f xml:space="preserve"> SUBSTITUTE(RIGHT(SUBSTITUTE(Network_Connections[[#This Row],[to]],"_",REPT("*",10)),10),"*","")</f>
        <v>WIFI2</v>
      </c>
      <c r="F310" s="3" t="str">
        <f>INDEX(Assets[Asset_ID],MATCH(Network_Connections[[#This Row],[From2]],Assets[name],0))</f>
        <v>A00021</v>
      </c>
      <c r="G310" s="3" t="s">
        <v>145</v>
      </c>
      <c r="H310" s="3" t="s">
        <v>144</v>
      </c>
      <c r="I310" s="3">
        <v>0</v>
      </c>
      <c r="J31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10" s="3" t="str">
        <f>RIGHT(Network_Connections[[#This Row],[port/protocol]],LEN(Network_Connections[[#This Row],[port/protocol]])-FIND("/",Network_Connections[[#This Row],[port/protocol]]))</f>
        <v>0-65535</v>
      </c>
      <c r="L310" s="3">
        <f t="shared" si="5"/>
        <v>0</v>
      </c>
    </row>
    <row r="311" spans="1:12" x14ac:dyDescent="0.2">
      <c r="A311" s="3" t="s">
        <v>158</v>
      </c>
      <c r="B311" s="3" t="str">
        <f xml:space="preserve"> SUBSTITUTE(RIGHT(SUBSTITUTE(Network_Connections[[#This Row],[from]],"_",REPT("*",10)),10),"*","")</f>
        <v>WIFI1</v>
      </c>
      <c r="C311" s="3" t="str">
        <f>INDEX(Assets[Asset_ID],MATCH(Network_Connections[[#This Row],[From1]],Assets[name],0))</f>
        <v>A00013</v>
      </c>
      <c r="D311" s="3" t="s">
        <v>149</v>
      </c>
      <c r="E311" s="3" t="str">
        <f xml:space="preserve"> SUBSTITUTE(RIGHT(SUBSTITUTE(Network_Connections[[#This Row],[to]],"_",REPT("*",10)),10),"*","")</f>
        <v>WS5</v>
      </c>
      <c r="F311" s="3" t="str">
        <f>INDEX(Assets[Asset_ID],MATCH(Network_Connections[[#This Row],[From2]],Assets[name],0))</f>
        <v>A00022</v>
      </c>
      <c r="G311" s="3" t="s">
        <v>145</v>
      </c>
      <c r="H311" s="3" t="s">
        <v>144</v>
      </c>
      <c r="I311" s="3">
        <v>0</v>
      </c>
      <c r="J31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11" s="3" t="str">
        <f>RIGHT(Network_Connections[[#This Row],[port/protocol]],LEN(Network_Connections[[#This Row],[port/protocol]])-FIND("/",Network_Connections[[#This Row],[port/protocol]]))</f>
        <v>0-65535</v>
      </c>
      <c r="L311" s="3">
        <f t="shared" si="5"/>
        <v>0</v>
      </c>
    </row>
    <row r="312" spans="1:12" x14ac:dyDescent="0.2">
      <c r="A312" s="3" t="s">
        <v>158</v>
      </c>
      <c r="B312" s="3" t="str">
        <f xml:space="preserve"> SUBSTITUTE(RIGHT(SUBSTITUTE(Network_Connections[[#This Row],[from]],"_",REPT("*",10)),10),"*","")</f>
        <v>WIFI1</v>
      </c>
      <c r="C312" s="3" t="str">
        <f>INDEX(Assets[Asset_ID],MATCH(Network_Connections[[#This Row],[From1]],Assets[name],0))</f>
        <v>A00013</v>
      </c>
      <c r="D312" s="3" t="s">
        <v>148</v>
      </c>
      <c r="E312" s="3" t="str">
        <f xml:space="preserve"> SUBSTITUTE(RIGHT(SUBSTITUTE(Network_Connections[[#This Row],[to]],"_",REPT("*",10)),10),"*","")</f>
        <v>WS6</v>
      </c>
      <c r="F312" s="3" t="str">
        <f>INDEX(Assets[Asset_ID],MATCH(Network_Connections[[#This Row],[From2]],Assets[name],0))</f>
        <v>A00023</v>
      </c>
      <c r="G312" s="3" t="s">
        <v>145</v>
      </c>
      <c r="H312" s="3" t="s">
        <v>144</v>
      </c>
      <c r="I312" s="3">
        <v>0</v>
      </c>
      <c r="J31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12" s="3" t="str">
        <f>RIGHT(Network_Connections[[#This Row],[port/protocol]],LEN(Network_Connections[[#This Row],[port/protocol]])-FIND("/",Network_Connections[[#This Row],[port/protocol]]))</f>
        <v>0-65535</v>
      </c>
      <c r="L312" s="3">
        <f t="shared" si="5"/>
        <v>0</v>
      </c>
    </row>
    <row r="313" spans="1:12" x14ac:dyDescent="0.2">
      <c r="A313" s="3" t="s">
        <v>158</v>
      </c>
      <c r="B313" s="3" t="str">
        <f xml:space="preserve"> SUBSTITUTE(RIGHT(SUBSTITUTE(Network_Connections[[#This Row],[from]],"_",REPT("*",10)),10),"*","")</f>
        <v>WIFI1</v>
      </c>
      <c r="C313" s="3" t="str">
        <f>INDEX(Assets[Asset_ID],MATCH(Network_Connections[[#This Row],[From1]],Assets[name],0))</f>
        <v>A00013</v>
      </c>
      <c r="D313" s="3" t="s">
        <v>146</v>
      </c>
      <c r="E313" s="3" t="str">
        <f xml:space="preserve"> SUBSTITUTE(RIGHT(SUBSTITUTE(Network_Connections[[#This Row],[to]],"_",REPT("*",10)),10),"*","")</f>
        <v>WS7</v>
      </c>
      <c r="F313" s="3" t="str">
        <f>INDEX(Assets[Asset_ID],MATCH(Network_Connections[[#This Row],[From2]],Assets[name],0))</f>
        <v>A00024</v>
      </c>
      <c r="G313" s="3" t="s">
        <v>145</v>
      </c>
      <c r="H313" s="3" t="s">
        <v>144</v>
      </c>
      <c r="I313" s="3">
        <v>0</v>
      </c>
      <c r="J31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13" s="3" t="str">
        <f>RIGHT(Network_Connections[[#This Row],[port/protocol]],LEN(Network_Connections[[#This Row],[port/protocol]])-FIND("/",Network_Connections[[#This Row],[port/protocol]]))</f>
        <v>0-65535</v>
      </c>
      <c r="L313" s="3">
        <f t="shared" si="5"/>
        <v>0</v>
      </c>
    </row>
    <row r="314" spans="1:12" x14ac:dyDescent="0.2">
      <c r="A314" s="3" t="s">
        <v>158</v>
      </c>
      <c r="B314" s="3" t="str">
        <f xml:space="preserve"> SUBSTITUTE(RIGHT(SUBSTITUTE(Network_Connections[[#This Row],[from]],"_",REPT("*",10)),10),"*","")</f>
        <v>WIFI1</v>
      </c>
      <c r="C314" s="3" t="str">
        <f>INDEX(Assets[Asset_ID],MATCH(Network_Connections[[#This Row],[From1]],Assets[name],0))</f>
        <v>A00013</v>
      </c>
      <c r="D314" s="3" t="s">
        <v>147</v>
      </c>
      <c r="E314" s="3" t="str">
        <f xml:space="preserve"> SUBSTITUTE(RIGHT(SUBSTITUTE(Network_Connections[[#This Row],[to]],"_",REPT("*",10)),10),"*","")</f>
        <v>WS8</v>
      </c>
      <c r="F314" s="3" t="str">
        <f>INDEX(Assets[Asset_ID],MATCH(Network_Connections[[#This Row],[From2]],Assets[name],0))</f>
        <v>A00025</v>
      </c>
      <c r="G314" s="3" t="s">
        <v>145</v>
      </c>
      <c r="H314" s="3" t="s">
        <v>144</v>
      </c>
      <c r="I314" s="3">
        <v>0</v>
      </c>
      <c r="J31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14" s="3" t="str">
        <f>RIGHT(Network_Connections[[#This Row],[port/protocol]],LEN(Network_Connections[[#This Row],[port/protocol]])-FIND("/",Network_Connections[[#This Row],[port/protocol]]))</f>
        <v>0-65535</v>
      </c>
      <c r="L314" s="3">
        <f t="shared" si="5"/>
        <v>0</v>
      </c>
    </row>
    <row r="315" spans="1:12" x14ac:dyDescent="0.2">
      <c r="A315" s="3" t="s">
        <v>157</v>
      </c>
      <c r="B315" s="3" t="str">
        <f xml:space="preserve"> SUBSTITUTE(RIGHT(SUBSTITUTE(Network_Connections[[#This Row],[from]],"_",REPT("*",10)),10),"*","")</f>
        <v>WS1</v>
      </c>
      <c r="C315" s="3" t="str">
        <f>INDEX(Assets[Asset_ID],MATCH(Network_Connections[[#This Row],[From1]],Assets[name],0))</f>
        <v>A00014</v>
      </c>
      <c r="D315" s="3" t="s">
        <v>171</v>
      </c>
      <c r="E315" s="3" t="str">
        <f xml:space="preserve"> SUBSTITUTE(RIGHT(SUBSTITUTE(Network_Connections[[#This Row],[to]],"_",REPT("*",10)),10),"*","")</f>
        <v>FW1</v>
      </c>
      <c r="F315" s="3" t="str">
        <f>INDEX(Assets[Asset_ID],MATCH(Network_Connections[[#This Row],[From2]],Assets[name],0))</f>
        <v>A00001</v>
      </c>
      <c r="G315" s="3" t="s">
        <v>145</v>
      </c>
      <c r="H315" s="3" t="s">
        <v>144</v>
      </c>
      <c r="I315" s="3">
        <v>0</v>
      </c>
      <c r="J31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15" s="3" t="str">
        <f>RIGHT(Network_Connections[[#This Row],[port/protocol]],LEN(Network_Connections[[#This Row],[port/protocol]])-FIND("/",Network_Connections[[#This Row],[port/protocol]]))</f>
        <v>0-65535</v>
      </c>
      <c r="L315" s="3">
        <f t="shared" si="5"/>
        <v>0</v>
      </c>
    </row>
    <row r="316" spans="1:12" x14ac:dyDescent="0.2">
      <c r="A316" s="3" t="s">
        <v>157</v>
      </c>
      <c r="B316" s="3" t="str">
        <f xml:space="preserve"> SUBSTITUTE(RIGHT(SUBSTITUTE(Network_Connections[[#This Row],[from]],"_",REPT("*",10)),10),"*","")</f>
        <v>WS1</v>
      </c>
      <c r="C316" s="3" t="str">
        <f>INDEX(Assets[Asset_ID],MATCH(Network_Connections[[#This Row],[From1]],Assets[name],0))</f>
        <v>A00014</v>
      </c>
      <c r="D316" s="3" t="s">
        <v>170</v>
      </c>
      <c r="E316" s="3" t="str">
        <f xml:space="preserve"> SUBSTITUTE(RIGHT(SUBSTITUTE(Network_Connections[[#This Row],[to]],"_",REPT("*",10)),10),"*","")</f>
        <v>VPNSRV</v>
      </c>
      <c r="F316" s="3" t="str">
        <f>INDEX(Assets[Asset_ID],MATCH(Network_Connections[[#This Row],[From2]],Assets[name],0))</f>
        <v>A00002</v>
      </c>
      <c r="G316" s="3" t="s">
        <v>145</v>
      </c>
      <c r="H316" s="3" t="s">
        <v>144</v>
      </c>
      <c r="I316" s="3">
        <v>0</v>
      </c>
      <c r="J31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16" s="3" t="str">
        <f>RIGHT(Network_Connections[[#This Row],[port/protocol]],LEN(Network_Connections[[#This Row],[port/protocol]])-FIND("/",Network_Connections[[#This Row],[port/protocol]]))</f>
        <v>0-65535</v>
      </c>
      <c r="L316" s="3">
        <f t="shared" si="5"/>
        <v>0</v>
      </c>
    </row>
    <row r="317" spans="1:12" x14ac:dyDescent="0.2">
      <c r="A317" s="3" t="s">
        <v>157</v>
      </c>
      <c r="B317" s="3" t="str">
        <f xml:space="preserve"> SUBSTITUTE(RIGHT(SUBSTITUTE(Network_Connections[[#This Row],[from]],"_",REPT("*",10)),10),"*","")</f>
        <v>WS1</v>
      </c>
      <c r="C317" s="3" t="str">
        <f>INDEX(Assets[Asset_ID],MATCH(Network_Connections[[#This Row],[From1]],Assets[name],0))</f>
        <v>A00014</v>
      </c>
      <c r="D317" s="3" t="s">
        <v>169</v>
      </c>
      <c r="E317" s="3" t="str">
        <f xml:space="preserve"> SUBSTITUTE(RIGHT(SUBSTITUTE(Network_Connections[[#This Row],[to]],"_",REPT("*",10)),10),"*","")</f>
        <v>WebSRV1</v>
      </c>
      <c r="F317" s="3" t="str">
        <f>INDEX(Assets[Asset_ID],MATCH(Network_Connections[[#This Row],[From2]],Assets[name],0))</f>
        <v>A00003</v>
      </c>
      <c r="G317" s="3" t="s">
        <v>145</v>
      </c>
      <c r="H317" s="3" t="s">
        <v>167</v>
      </c>
      <c r="I317" s="3">
        <v>1</v>
      </c>
      <c r="J31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"A00014"-&gt;"A00003"@00:("TCP", "443");</v>
      </c>
      <c r="K317" s="3" t="str">
        <f>RIGHT(Network_Connections[[#This Row],[port/protocol]],LEN(Network_Connections[[#This Row],[port/protocol]])-FIND("/",Network_Connections[[#This Row],[port/protocol]]))</f>
        <v>443</v>
      </c>
      <c r="L317" s="3">
        <f t="shared" si="5"/>
        <v>0</v>
      </c>
    </row>
    <row r="318" spans="1:12" x14ac:dyDescent="0.2">
      <c r="A318" s="3" t="s">
        <v>157</v>
      </c>
      <c r="B318" s="3" t="str">
        <f xml:space="preserve"> SUBSTITUTE(RIGHT(SUBSTITUTE(Network_Connections[[#This Row],[from]],"_",REPT("*",10)),10),"*","")</f>
        <v>WS1</v>
      </c>
      <c r="C318" s="3" t="str">
        <f>INDEX(Assets[Asset_ID],MATCH(Network_Connections[[#This Row],[From1]],Assets[name],0))</f>
        <v>A00014</v>
      </c>
      <c r="D318" s="3" t="s">
        <v>168</v>
      </c>
      <c r="E318" s="3" t="str">
        <f xml:space="preserve"> SUBSTITUTE(RIGHT(SUBSTITUTE(Network_Connections[[#This Row],[to]],"_",REPT("*",10)),10),"*","")</f>
        <v>WebSRV2</v>
      </c>
      <c r="F318" s="3" t="str">
        <f>INDEX(Assets[Asset_ID],MATCH(Network_Connections[[#This Row],[From2]],Assets[name],0))</f>
        <v>A00004</v>
      </c>
      <c r="G318" s="3" t="s">
        <v>145</v>
      </c>
      <c r="H318" s="3" t="s">
        <v>167</v>
      </c>
      <c r="I318" s="3">
        <v>1</v>
      </c>
      <c r="J31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"A00014"-&gt;"A00004"@00:("TCP", "443");</v>
      </c>
      <c r="K318" s="3" t="str">
        <f>RIGHT(Network_Connections[[#This Row],[port/protocol]],LEN(Network_Connections[[#This Row],[port/protocol]])-FIND("/",Network_Connections[[#This Row],[port/protocol]]))</f>
        <v>443</v>
      </c>
      <c r="L318" s="3">
        <f t="shared" si="5"/>
        <v>0</v>
      </c>
    </row>
    <row r="319" spans="1:12" x14ac:dyDescent="0.2">
      <c r="A319" s="3" t="s">
        <v>157</v>
      </c>
      <c r="B319" s="3" t="str">
        <f xml:space="preserve"> SUBSTITUTE(RIGHT(SUBSTITUTE(Network_Connections[[#This Row],[from]],"_",REPT("*",10)),10),"*","")</f>
        <v>WS1</v>
      </c>
      <c r="C319" s="3" t="str">
        <f>INDEX(Assets[Asset_ID],MATCH(Network_Connections[[#This Row],[From1]],Assets[name],0))</f>
        <v>A00014</v>
      </c>
      <c r="D319" s="3" t="s">
        <v>166</v>
      </c>
      <c r="E319" s="3" t="str">
        <f xml:space="preserve"> SUBSTITUTE(RIGHT(SUBSTITUTE(Network_Connections[[#This Row],[to]],"_",REPT("*",10)),10),"*","")</f>
        <v>FW2</v>
      </c>
      <c r="F319" s="3" t="str">
        <f>INDEX(Assets[Asset_ID],MATCH(Network_Connections[[#This Row],[From2]],Assets[name],0))</f>
        <v>A00005</v>
      </c>
      <c r="G319" s="3" t="s">
        <v>145</v>
      </c>
      <c r="H319" s="3" t="s">
        <v>144</v>
      </c>
      <c r="I319" s="3">
        <v>0</v>
      </c>
      <c r="J31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19" s="3" t="str">
        <f>RIGHT(Network_Connections[[#This Row],[port/protocol]],LEN(Network_Connections[[#This Row],[port/protocol]])-FIND("/",Network_Connections[[#This Row],[port/protocol]]))</f>
        <v>0-65535</v>
      </c>
      <c r="L319" s="3">
        <f t="shared" si="5"/>
        <v>0</v>
      </c>
    </row>
    <row r="320" spans="1:12" x14ac:dyDescent="0.2">
      <c r="A320" s="3" t="s">
        <v>157</v>
      </c>
      <c r="B320" s="3" t="str">
        <f xml:space="preserve"> SUBSTITUTE(RIGHT(SUBSTITUTE(Network_Connections[[#This Row],[from]],"_",REPT("*",10)),10),"*","")</f>
        <v>WS1</v>
      </c>
      <c r="C320" s="3" t="str">
        <f>INDEX(Assets[Asset_ID],MATCH(Network_Connections[[#This Row],[From1]],Assets[name],0))</f>
        <v>A00014</v>
      </c>
      <c r="D320" s="3" t="s">
        <v>165</v>
      </c>
      <c r="E320" s="3" t="str">
        <f xml:space="preserve"> SUBSTITUTE(RIGHT(SUBSTITUTE(Network_Connections[[#This Row],[to]],"_",REPT("*",10)),10),"*","")</f>
        <v>SW1</v>
      </c>
      <c r="F320" s="3" t="str">
        <f>INDEX(Assets[Asset_ID],MATCH(Network_Connections[[#This Row],[From2]],Assets[name],0))</f>
        <v>A00006</v>
      </c>
      <c r="G320" s="3" t="s">
        <v>145</v>
      </c>
      <c r="H320" s="3" t="s">
        <v>144</v>
      </c>
      <c r="I320" s="3">
        <v>0</v>
      </c>
      <c r="J32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20" s="3" t="str">
        <f>RIGHT(Network_Connections[[#This Row],[port/protocol]],LEN(Network_Connections[[#This Row],[port/protocol]])-FIND("/",Network_Connections[[#This Row],[port/protocol]]))</f>
        <v>0-65535</v>
      </c>
      <c r="L320" s="3">
        <f t="shared" si="5"/>
        <v>0</v>
      </c>
    </row>
    <row r="321" spans="1:12" x14ac:dyDescent="0.2">
      <c r="A321" s="3" t="s">
        <v>157</v>
      </c>
      <c r="B321" s="3" t="str">
        <f xml:space="preserve"> SUBSTITUTE(RIGHT(SUBSTITUTE(Network_Connections[[#This Row],[from]],"_",REPT("*",10)),10),"*","")</f>
        <v>WS1</v>
      </c>
      <c r="C321" s="3" t="str">
        <f>INDEX(Assets[Asset_ID],MATCH(Network_Connections[[#This Row],[From1]],Assets[name],0))</f>
        <v>A00014</v>
      </c>
      <c r="D321" s="3" t="s">
        <v>164</v>
      </c>
      <c r="E321" s="3" t="str">
        <f xml:space="preserve"> SUBSTITUTE(RIGHT(SUBSTITUTE(Network_Connections[[#This Row],[to]],"_",REPT("*",10)),10),"*","")</f>
        <v>AD</v>
      </c>
      <c r="F321" s="3" t="str">
        <f>INDEX(Assets[Asset_ID],MATCH(Network_Connections[[#This Row],[From2]],Assets[name],0))</f>
        <v>A00007</v>
      </c>
      <c r="G321" s="3" t="s">
        <v>145</v>
      </c>
      <c r="H321" s="3" t="s">
        <v>144</v>
      </c>
      <c r="I321" s="3">
        <v>1</v>
      </c>
      <c r="J32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"A00014"-&gt;"A00007"@00:("IP", "0-65535");</v>
      </c>
      <c r="K321" s="3" t="str">
        <f>RIGHT(Network_Connections[[#This Row],[port/protocol]],LEN(Network_Connections[[#This Row],[port/protocol]])-FIND("/",Network_Connections[[#This Row],[port/protocol]]))</f>
        <v>0-65535</v>
      </c>
      <c r="L321" s="3">
        <f t="shared" si="5"/>
        <v>0</v>
      </c>
    </row>
    <row r="322" spans="1:12" x14ac:dyDescent="0.2">
      <c r="A322" s="3" t="s">
        <v>157</v>
      </c>
      <c r="B322" s="3" t="str">
        <f xml:space="preserve"> SUBSTITUTE(RIGHT(SUBSTITUTE(Network_Connections[[#This Row],[from]],"_",REPT("*",10)),10),"*","")</f>
        <v>WS1</v>
      </c>
      <c r="C322" s="3" t="str">
        <f>INDEX(Assets[Asset_ID],MATCH(Network_Connections[[#This Row],[From1]],Assets[name],0))</f>
        <v>A00014</v>
      </c>
      <c r="D322" s="3" t="s">
        <v>163</v>
      </c>
      <c r="E322" s="3" t="str">
        <f xml:space="preserve"> SUBSTITUTE(RIGHT(SUBSTITUTE(Network_Connections[[#This Row],[to]],"_",REPT("*",10)),10),"*","")</f>
        <v>ERP</v>
      </c>
      <c r="F322" s="3" t="str">
        <f>INDEX(Assets[Asset_ID],MATCH(Network_Connections[[#This Row],[From2]],Assets[name],0))</f>
        <v>A00008</v>
      </c>
      <c r="G322" s="3" t="s">
        <v>145</v>
      </c>
      <c r="H322" s="3" t="s">
        <v>144</v>
      </c>
      <c r="I322" s="3">
        <v>1</v>
      </c>
      <c r="J32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"A00014"-&gt;"A00008"@00:("IP", "0-65535");</v>
      </c>
      <c r="K322" s="3" t="str">
        <f>RIGHT(Network_Connections[[#This Row],[port/protocol]],LEN(Network_Connections[[#This Row],[port/protocol]])-FIND("/",Network_Connections[[#This Row],[port/protocol]]))</f>
        <v>0-65535</v>
      </c>
      <c r="L322" s="3">
        <f t="shared" ref="L322:L385" si="6">IF(AND(C322=C321, F322=F321), L321+1, 0)</f>
        <v>0</v>
      </c>
    </row>
    <row r="323" spans="1:12" x14ac:dyDescent="0.2">
      <c r="A323" s="3" t="s">
        <v>157</v>
      </c>
      <c r="B323" s="3" t="str">
        <f xml:space="preserve"> SUBSTITUTE(RIGHT(SUBSTITUTE(Network_Connections[[#This Row],[from]],"_",REPT("*",10)),10),"*","")</f>
        <v>WS1</v>
      </c>
      <c r="C323" s="3" t="str">
        <f>INDEX(Assets[Asset_ID],MATCH(Network_Connections[[#This Row],[From1]],Assets[name],0))</f>
        <v>A00014</v>
      </c>
      <c r="D323" s="3" t="s">
        <v>162</v>
      </c>
      <c r="E323" s="3" t="str">
        <f xml:space="preserve"> SUBSTITUTE(RIGHT(SUBSTITUTE(Network_Connections[[#This Row],[to]],"_",REPT("*",10)),10),"*","")</f>
        <v>Banking</v>
      </c>
      <c r="F323" s="3" t="str">
        <f>INDEX(Assets[Asset_ID],MATCH(Network_Connections[[#This Row],[From2]],Assets[name],0))</f>
        <v>A00009</v>
      </c>
      <c r="G323" s="3" t="s">
        <v>145</v>
      </c>
      <c r="H323" s="3" t="s">
        <v>144</v>
      </c>
      <c r="I323" s="3">
        <v>0</v>
      </c>
      <c r="J32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23" s="3" t="str">
        <f>RIGHT(Network_Connections[[#This Row],[port/protocol]],LEN(Network_Connections[[#This Row],[port/protocol]])-FIND("/",Network_Connections[[#This Row],[port/protocol]]))</f>
        <v>0-65535</v>
      </c>
      <c r="L323" s="3">
        <f t="shared" si="6"/>
        <v>0</v>
      </c>
    </row>
    <row r="324" spans="1:12" x14ac:dyDescent="0.2">
      <c r="A324" s="3" t="s">
        <v>157</v>
      </c>
      <c r="B324" s="3" t="str">
        <f xml:space="preserve"> SUBSTITUTE(RIGHT(SUBSTITUTE(Network_Connections[[#This Row],[from]],"_",REPT("*",10)),10),"*","")</f>
        <v>WS1</v>
      </c>
      <c r="C324" s="3" t="str">
        <f>INDEX(Assets[Asset_ID],MATCH(Network_Connections[[#This Row],[From1]],Assets[name],0))</f>
        <v>A00014</v>
      </c>
      <c r="D324" s="3" t="s">
        <v>161</v>
      </c>
      <c r="E324" s="3" t="str">
        <f xml:space="preserve"> SUBSTITUTE(RIGHT(SUBSTITUTE(Network_Connections[[#This Row],[to]],"_",REPT("*",10)),10),"*","")</f>
        <v>Email</v>
      </c>
      <c r="F324" s="3" t="str">
        <f>INDEX(Assets[Asset_ID],MATCH(Network_Connections[[#This Row],[From2]],Assets[name],0))</f>
        <v>A00010</v>
      </c>
      <c r="G324" s="3" t="s">
        <v>145</v>
      </c>
      <c r="H324" s="3" t="s">
        <v>167</v>
      </c>
      <c r="I324" s="3">
        <v>1</v>
      </c>
      <c r="J32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"A00014"-&gt;"A00010"@00:("TCP", "443");</v>
      </c>
      <c r="K324" s="3" t="str">
        <f>RIGHT(Network_Connections[[#This Row],[port/protocol]],LEN(Network_Connections[[#This Row],[port/protocol]])-FIND("/",Network_Connections[[#This Row],[port/protocol]]))</f>
        <v>443</v>
      </c>
      <c r="L324" s="3">
        <f t="shared" si="6"/>
        <v>0</v>
      </c>
    </row>
    <row r="325" spans="1:12" x14ac:dyDescent="0.2">
      <c r="A325" s="3" t="s">
        <v>157</v>
      </c>
      <c r="B325" s="3" t="str">
        <f xml:space="preserve"> SUBSTITUTE(RIGHT(SUBSTITUTE(Network_Connections[[#This Row],[from]],"_",REPT("*",10)),10),"*","")</f>
        <v>WS1</v>
      </c>
      <c r="C325" s="3" t="str">
        <f>INDEX(Assets[Asset_ID],MATCH(Network_Connections[[#This Row],[From1]],Assets[name],0))</f>
        <v>A00014</v>
      </c>
      <c r="D325" s="3" t="s">
        <v>160</v>
      </c>
      <c r="E325" s="3" t="str">
        <f xml:space="preserve"> SUBSTITUTE(RIGHT(SUBSTITUTE(Network_Connections[[#This Row],[to]],"_",REPT("*",10)),10),"*","")</f>
        <v>WMS</v>
      </c>
      <c r="F325" s="3" t="str">
        <f>INDEX(Assets[Asset_ID],MATCH(Network_Connections[[#This Row],[From2]],Assets[name],0))</f>
        <v>A00011</v>
      </c>
      <c r="G325" s="3" t="s">
        <v>145</v>
      </c>
      <c r="H325" s="3" t="s">
        <v>144</v>
      </c>
      <c r="I325" s="3">
        <v>0</v>
      </c>
      <c r="J32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25" s="3" t="str">
        <f>RIGHT(Network_Connections[[#This Row],[port/protocol]],LEN(Network_Connections[[#This Row],[port/protocol]])-FIND("/",Network_Connections[[#This Row],[port/protocol]]))</f>
        <v>0-65535</v>
      </c>
      <c r="L325" s="3">
        <f t="shared" si="6"/>
        <v>0</v>
      </c>
    </row>
    <row r="326" spans="1:12" x14ac:dyDescent="0.2">
      <c r="A326" s="3" t="s">
        <v>157</v>
      </c>
      <c r="B326" s="3" t="str">
        <f xml:space="preserve"> SUBSTITUTE(RIGHT(SUBSTITUTE(Network_Connections[[#This Row],[from]],"_",REPT("*",10)),10),"*","")</f>
        <v>WS1</v>
      </c>
      <c r="C326" s="3" t="str">
        <f>INDEX(Assets[Asset_ID],MATCH(Network_Connections[[#This Row],[From1]],Assets[name],0))</f>
        <v>A00014</v>
      </c>
      <c r="D326" s="3" t="s">
        <v>159</v>
      </c>
      <c r="E326" s="3" t="str">
        <f xml:space="preserve"> SUBSTITUTE(RIGHT(SUBSTITUTE(Network_Connections[[#This Row],[to]],"_",REPT("*",10)),10),"*","")</f>
        <v>CRM</v>
      </c>
      <c r="F326" s="3" t="str">
        <f>INDEX(Assets[Asset_ID],MATCH(Network_Connections[[#This Row],[From2]],Assets[name],0))</f>
        <v>A00012</v>
      </c>
      <c r="G326" s="3" t="s">
        <v>145</v>
      </c>
      <c r="H326" s="3" t="s">
        <v>167</v>
      </c>
      <c r="I326" s="3">
        <v>1</v>
      </c>
      <c r="J32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"A00014"-&gt;"A00012"@00:("TCP", "443");</v>
      </c>
      <c r="K326" s="3" t="str">
        <f>RIGHT(Network_Connections[[#This Row],[port/protocol]],LEN(Network_Connections[[#This Row],[port/protocol]])-FIND("/",Network_Connections[[#This Row],[port/protocol]]))</f>
        <v>443</v>
      </c>
      <c r="L326" s="3">
        <f t="shared" si="6"/>
        <v>0</v>
      </c>
    </row>
    <row r="327" spans="1:12" x14ac:dyDescent="0.2">
      <c r="A327" s="3" t="s">
        <v>157</v>
      </c>
      <c r="B327" s="3" t="str">
        <f xml:space="preserve"> SUBSTITUTE(RIGHT(SUBSTITUTE(Network_Connections[[#This Row],[from]],"_",REPT("*",10)),10),"*","")</f>
        <v>WS1</v>
      </c>
      <c r="C327" s="3" t="str">
        <f>INDEX(Assets[Asset_ID],MATCH(Network_Connections[[#This Row],[From1]],Assets[name],0))</f>
        <v>A00014</v>
      </c>
      <c r="D327" s="3" t="s">
        <v>158</v>
      </c>
      <c r="E327" s="3" t="str">
        <f xml:space="preserve"> SUBSTITUTE(RIGHT(SUBSTITUTE(Network_Connections[[#This Row],[to]],"_",REPT("*",10)),10),"*","")</f>
        <v>WIFI1</v>
      </c>
      <c r="F327" s="3" t="str">
        <f>INDEX(Assets[Asset_ID],MATCH(Network_Connections[[#This Row],[From2]],Assets[name],0))</f>
        <v>A00013</v>
      </c>
      <c r="G327" s="3" t="s">
        <v>145</v>
      </c>
      <c r="H327" s="3" t="s">
        <v>144</v>
      </c>
      <c r="I327" s="3">
        <v>1</v>
      </c>
      <c r="J32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"A00014"-&gt;"A00013"@00:("IP", "0-65535");</v>
      </c>
      <c r="K327" s="3" t="str">
        <f>RIGHT(Network_Connections[[#This Row],[port/protocol]],LEN(Network_Connections[[#This Row],[port/protocol]])-FIND("/",Network_Connections[[#This Row],[port/protocol]]))</f>
        <v>0-65535</v>
      </c>
      <c r="L327" s="3">
        <f t="shared" si="6"/>
        <v>0</v>
      </c>
    </row>
    <row r="328" spans="1:12" x14ac:dyDescent="0.2">
      <c r="A328" s="3" t="s">
        <v>157</v>
      </c>
      <c r="B328" s="3" t="str">
        <f xml:space="preserve"> SUBSTITUTE(RIGHT(SUBSTITUTE(Network_Connections[[#This Row],[from]],"_",REPT("*",10)),10),"*","")</f>
        <v>WS1</v>
      </c>
      <c r="C328" s="3" t="str">
        <f>INDEX(Assets[Asset_ID],MATCH(Network_Connections[[#This Row],[From1]],Assets[name],0))</f>
        <v>A00014</v>
      </c>
      <c r="D328" s="3" t="s">
        <v>156</v>
      </c>
      <c r="E328" s="3" t="str">
        <f xml:space="preserve"> SUBSTITUTE(RIGHT(SUBSTITUTE(Network_Connections[[#This Row],[to]],"_",REPT("*",10)),10),"*","")</f>
        <v>FW3</v>
      </c>
      <c r="F328" s="3" t="str">
        <f>INDEX(Assets[Asset_ID],MATCH(Network_Connections[[#This Row],[From2]],Assets[name],0))</f>
        <v>A00015</v>
      </c>
      <c r="G328" s="3" t="s">
        <v>145</v>
      </c>
      <c r="H328" s="3" t="s">
        <v>144</v>
      </c>
      <c r="I328" s="3">
        <v>0</v>
      </c>
      <c r="J32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28" s="3" t="str">
        <f>RIGHT(Network_Connections[[#This Row],[port/protocol]],LEN(Network_Connections[[#This Row],[port/protocol]])-FIND("/",Network_Connections[[#This Row],[port/protocol]]))</f>
        <v>0-65535</v>
      </c>
      <c r="L328" s="3">
        <f t="shared" si="6"/>
        <v>0</v>
      </c>
    </row>
    <row r="329" spans="1:12" x14ac:dyDescent="0.2">
      <c r="A329" s="3" t="s">
        <v>157</v>
      </c>
      <c r="B329" s="3" t="str">
        <f xml:space="preserve"> SUBSTITUTE(RIGHT(SUBSTITUTE(Network_Connections[[#This Row],[from]],"_",REPT("*",10)),10),"*","")</f>
        <v>WS1</v>
      </c>
      <c r="C329" s="3" t="str">
        <f>INDEX(Assets[Asset_ID],MATCH(Network_Connections[[#This Row],[From1]],Assets[name],0))</f>
        <v>A00014</v>
      </c>
      <c r="D329" s="3" t="s">
        <v>155</v>
      </c>
      <c r="E329" s="3" t="str">
        <f xml:space="preserve"> SUBSTITUTE(RIGHT(SUBSTITUTE(Network_Connections[[#This Row],[to]],"_",REPT("*",10)),10),"*","")</f>
        <v>SW2</v>
      </c>
      <c r="F329" s="3" t="str">
        <f>INDEX(Assets[Asset_ID],MATCH(Network_Connections[[#This Row],[From2]],Assets[name],0))</f>
        <v>A00016</v>
      </c>
      <c r="G329" s="3" t="s">
        <v>145</v>
      </c>
      <c r="H329" s="3" t="s">
        <v>144</v>
      </c>
      <c r="I329" s="3">
        <v>0</v>
      </c>
      <c r="J32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29" s="3" t="str">
        <f>RIGHT(Network_Connections[[#This Row],[port/protocol]],LEN(Network_Connections[[#This Row],[port/protocol]])-FIND("/",Network_Connections[[#This Row],[port/protocol]]))</f>
        <v>0-65535</v>
      </c>
      <c r="L329" s="3">
        <f t="shared" si="6"/>
        <v>0</v>
      </c>
    </row>
    <row r="330" spans="1:12" x14ac:dyDescent="0.2">
      <c r="A330" s="3" t="s">
        <v>157</v>
      </c>
      <c r="B330" s="3" t="str">
        <f xml:space="preserve"> SUBSTITUTE(RIGHT(SUBSTITUTE(Network_Connections[[#This Row],[from]],"_",REPT("*",10)),10),"*","")</f>
        <v>WS1</v>
      </c>
      <c r="C330" s="3" t="str">
        <f>INDEX(Assets[Asset_ID],MATCH(Network_Connections[[#This Row],[From1]],Assets[name],0))</f>
        <v>A00014</v>
      </c>
      <c r="D330" s="3" t="s">
        <v>154</v>
      </c>
      <c r="E330" s="3" t="str">
        <f xml:space="preserve"> SUBSTITUTE(RIGHT(SUBSTITUTE(Network_Connections[[#This Row],[to]],"_",REPT("*",10)),10),"*","")</f>
        <v>WS2</v>
      </c>
      <c r="F330" s="3" t="str">
        <f>INDEX(Assets[Asset_ID],MATCH(Network_Connections[[#This Row],[From2]],Assets[name],0))</f>
        <v>A00017</v>
      </c>
      <c r="G330" s="3" t="s">
        <v>145</v>
      </c>
      <c r="H330" s="3" t="s">
        <v>144</v>
      </c>
      <c r="I330" s="3">
        <v>0</v>
      </c>
      <c r="J33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0" s="3" t="str">
        <f>RIGHT(Network_Connections[[#This Row],[port/protocol]],LEN(Network_Connections[[#This Row],[port/protocol]])-FIND("/",Network_Connections[[#This Row],[port/protocol]]))</f>
        <v>0-65535</v>
      </c>
      <c r="L330" s="3">
        <f t="shared" si="6"/>
        <v>0</v>
      </c>
    </row>
    <row r="331" spans="1:12" x14ac:dyDescent="0.2">
      <c r="A331" s="3" t="s">
        <v>157</v>
      </c>
      <c r="B331" s="3" t="str">
        <f xml:space="preserve"> SUBSTITUTE(RIGHT(SUBSTITUTE(Network_Connections[[#This Row],[from]],"_",REPT("*",10)),10),"*","")</f>
        <v>WS1</v>
      </c>
      <c r="C331" s="3" t="str">
        <f>INDEX(Assets[Asset_ID],MATCH(Network_Connections[[#This Row],[From1]],Assets[name],0))</f>
        <v>A00014</v>
      </c>
      <c r="D331" s="3" t="s">
        <v>153</v>
      </c>
      <c r="E331" s="3" t="str">
        <f xml:space="preserve"> SUBSTITUTE(RIGHT(SUBSTITUTE(Network_Connections[[#This Row],[to]],"_",REPT("*",10)),10),"*","")</f>
        <v>WS3</v>
      </c>
      <c r="F331" s="3" t="str">
        <f>INDEX(Assets[Asset_ID],MATCH(Network_Connections[[#This Row],[From2]],Assets[name],0))</f>
        <v>A00018</v>
      </c>
      <c r="G331" s="3" t="s">
        <v>145</v>
      </c>
      <c r="H331" s="3" t="s">
        <v>144</v>
      </c>
      <c r="I331" s="3">
        <v>0</v>
      </c>
      <c r="J33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1" s="3" t="str">
        <f>RIGHT(Network_Connections[[#This Row],[port/protocol]],LEN(Network_Connections[[#This Row],[port/protocol]])-FIND("/",Network_Connections[[#This Row],[port/protocol]]))</f>
        <v>0-65535</v>
      </c>
      <c r="L331" s="3">
        <f t="shared" si="6"/>
        <v>0</v>
      </c>
    </row>
    <row r="332" spans="1:12" x14ac:dyDescent="0.2">
      <c r="A332" s="3" t="s">
        <v>157</v>
      </c>
      <c r="B332" s="3" t="str">
        <f xml:space="preserve"> SUBSTITUTE(RIGHT(SUBSTITUTE(Network_Connections[[#This Row],[from]],"_",REPT("*",10)),10),"*","")</f>
        <v>WS1</v>
      </c>
      <c r="C332" s="3" t="str">
        <f>INDEX(Assets[Asset_ID],MATCH(Network_Connections[[#This Row],[From1]],Assets[name],0))</f>
        <v>A00014</v>
      </c>
      <c r="D332" s="3" t="s">
        <v>152</v>
      </c>
      <c r="E332" s="3" t="str">
        <f xml:space="preserve"> SUBSTITUTE(RIGHT(SUBSTITUTE(Network_Connections[[#This Row],[to]],"_",REPT("*",10)),10),"*","")</f>
        <v>WS4</v>
      </c>
      <c r="F332" s="3" t="str">
        <f>INDEX(Assets[Asset_ID],MATCH(Network_Connections[[#This Row],[From2]],Assets[name],0))</f>
        <v>A00019</v>
      </c>
      <c r="G332" s="3" t="s">
        <v>145</v>
      </c>
      <c r="H332" s="3" t="s">
        <v>144</v>
      </c>
      <c r="I332" s="3">
        <v>0</v>
      </c>
      <c r="J33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2" s="3" t="str">
        <f>RIGHT(Network_Connections[[#This Row],[port/protocol]],LEN(Network_Connections[[#This Row],[port/protocol]])-FIND("/",Network_Connections[[#This Row],[port/protocol]]))</f>
        <v>0-65535</v>
      </c>
      <c r="L332" s="3">
        <f t="shared" si="6"/>
        <v>0</v>
      </c>
    </row>
    <row r="333" spans="1:12" x14ac:dyDescent="0.2">
      <c r="A333" s="3" t="s">
        <v>157</v>
      </c>
      <c r="B333" s="3" t="str">
        <f xml:space="preserve"> SUBSTITUTE(RIGHT(SUBSTITUTE(Network_Connections[[#This Row],[from]],"_",REPT("*",10)),10),"*","")</f>
        <v>WS1</v>
      </c>
      <c r="C333" s="3" t="str">
        <f>INDEX(Assets[Asset_ID],MATCH(Network_Connections[[#This Row],[From1]],Assets[name],0))</f>
        <v>A00014</v>
      </c>
      <c r="D333" s="3" t="s">
        <v>151</v>
      </c>
      <c r="E333" s="3" t="str">
        <f xml:space="preserve"> SUBSTITUTE(RIGHT(SUBSTITUTE(Network_Connections[[#This Row],[to]],"_",REPT("*",10)),10),"*","")</f>
        <v>FW4</v>
      </c>
      <c r="F333" s="3" t="str">
        <f>INDEX(Assets[Asset_ID],MATCH(Network_Connections[[#This Row],[From2]],Assets[name],0))</f>
        <v>A00020</v>
      </c>
      <c r="G333" s="3" t="s">
        <v>145</v>
      </c>
      <c r="H333" s="3" t="s">
        <v>144</v>
      </c>
      <c r="I333" s="3">
        <v>0</v>
      </c>
      <c r="J33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3" s="3" t="str">
        <f>RIGHT(Network_Connections[[#This Row],[port/protocol]],LEN(Network_Connections[[#This Row],[port/protocol]])-FIND("/",Network_Connections[[#This Row],[port/protocol]]))</f>
        <v>0-65535</v>
      </c>
      <c r="L333" s="3">
        <f t="shared" si="6"/>
        <v>0</v>
      </c>
    </row>
    <row r="334" spans="1:12" x14ac:dyDescent="0.2">
      <c r="A334" s="3" t="s">
        <v>157</v>
      </c>
      <c r="B334" s="3" t="str">
        <f xml:space="preserve"> SUBSTITUTE(RIGHT(SUBSTITUTE(Network_Connections[[#This Row],[from]],"_",REPT("*",10)),10),"*","")</f>
        <v>WS1</v>
      </c>
      <c r="C334" s="3" t="str">
        <f>INDEX(Assets[Asset_ID],MATCH(Network_Connections[[#This Row],[From1]],Assets[name],0))</f>
        <v>A00014</v>
      </c>
      <c r="D334" s="3" t="s">
        <v>150</v>
      </c>
      <c r="E334" s="3" t="str">
        <f xml:space="preserve"> SUBSTITUTE(RIGHT(SUBSTITUTE(Network_Connections[[#This Row],[to]],"_",REPT("*",10)),10),"*","")</f>
        <v>WIFI2</v>
      </c>
      <c r="F334" s="3" t="str">
        <f>INDEX(Assets[Asset_ID],MATCH(Network_Connections[[#This Row],[From2]],Assets[name],0))</f>
        <v>A00021</v>
      </c>
      <c r="G334" s="3" t="s">
        <v>145</v>
      </c>
      <c r="H334" s="3" t="s">
        <v>144</v>
      </c>
      <c r="I334" s="3">
        <v>0</v>
      </c>
      <c r="J33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4" s="3" t="str">
        <f>RIGHT(Network_Connections[[#This Row],[port/protocol]],LEN(Network_Connections[[#This Row],[port/protocol]])-FIND("/",Network_Connections[[#This Row],[port/protocol]]))</f>
        <v>0-65535</v>
      </c>
      <c r="L334" s="3">
        <f t="shared" si="6"/>
        <v>0</v>
      </c>
    </row>
    <row r="335" spans="1:12" x14ac:dyDescent="0.2">
      <c r="A335" s="3" t="s">
        <v>157</v>
      </c>
      <c r="B335" s="3" t="str">
        <f xml:space="preserve"> SUBSTITUTE(RIGHT(SUBSTITUTE(Network_Connections[[#This Row],[from]],"_",REPT("*",10)),10),"*","")</f>
        <v>WS1</v>
      </c>
      <c r="C335" s="3" t="str">
        <f>INDEX(Assets[Asset_ID],MATCH(Network_Connections[[#This Row],[From1]],Assets[name],0))</f>
        <v>A00014</v>
      </c>
      <c r="D335" s="3" t="s">
        <v>149</v>
      </c>
      <c r="E335" s="3" t="str">
        <f xml:space="preserve"> SUBSTITUTE(RIGHT(SUBSTITUTE(Network_Connections[[#This Row],[to]],"_",REPT("*",10)),10),"*","")</f>
        <v>WS5</v>
      </c>
      <c r="F335" s="3" t="str">
        <f>INDEX(Assets[Asset_ID],MATCH(Network_Connections[[#This Row],[From2]],Assets[name],0))</f>
        <v>A00022</v>
      </c>
      <c r="G335" s="3" t="s">
        <v>145</v>
      </c>
      <c r="H335" s="3" t="s">
        <v>144</v>
      </c>
      <c r="I335" s="3">
        <v>0</v>
      </c>
      <c r="J33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5" s="3" t="str">
        <f>RIGHT(Network_Connections[[#This Row],[port/protocol]],LEN(Network_Connections[[#This Row],[port/protocol]])-FIND("/",Network_Connections[[#This Row],[port/protocol]]))</f>
        <v>0-65535</v>
      </c>
      <c r="L335" s="3">
        <f t="shared" si="6"/>
        <v>0</v>
      </c>
    </row>
    <row r="336" spans="1:12" x14ac:dyDescent="0.2">
      <c r="A336" s="3" t="s">
        <v>157</v>
      </c>
      <c r="B336" s="3" t="str">
        <f xml:space="preserve"> SUBSTITUTE(RIGHT(SUBSTITUTE(Network_Connections[[#This Row],[from]],"_",REPT("*",10)),10),"*","")</f>
        <v>WS1</v>
      </c>
      <c r="C336" s="3" t="str">
        <f>INDEX(Assets[Asset_ID],MATCH(Network_Connections[[#This Row],[From1]],Assets[name],0))</f>
        <v>A00014</v>
      </c>
      <c r="D336" s="3" t="s">
        <v>148</v>
      </c>
      <c r="E336" s="3" t="str">
        <f xml:space="preserve"> SUBSTITUTE(RIGHT(SUBSTITUTE(Network_Connections[[#This Row],[to]],"_",REPT("*",10)),10),"*","")</f>
        <v>WS6</v>
      </c>
      <c r="F336" s="3" t="str">
        <f>INDEX(Assets[Asset_ID],MATCH(Network_Connections[[#This Row],[From2]],Assets[name],0))</f>
        <v>A00023</v>
      </c>
      <c r="G336" s="3" t="s">
        <v>145</v>
      </c>
      <c r="H336" s="3" t="s">
        <v>144</v>
      </c>
      <c r="I336" s="3">
        <v>0</v>
      </c>
      <c r="J33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6" s="3" t="str">
        <f>RIGHT(Network_Connections[[#This Row],[port/protocol]],LEN(Network_Connections[[#This Row],[port/protocol]])-FIND("/",Network_Connections[[#This Row],[port/protocol]]))</f>
        <v>0-65535</v>
      </c>
      <c r="L336" s="3">
        <f t="shared" si="6"/>
        <v>0</v>
      </c>
    </row>
    <row r="337" spans="1:12" x14ac:dyDescent="0.2">
      <c r="A337" s="3" t="s">
        <v>157</v>
      </c>
      <c r="B337" s="3" t="str">
        <f xml:space="preserve"> SUBSTITUTE(RIGHT(SUBSTITUTE(Network_Connections[[#This Row],[from]],"_",REPT("*",10)),10),"*","")</f>
        <v>WS1</v>
      </c>
      <c r="C337" s="3" t="str">
        <f>INDEX(Assets[Asset_ID],MATCH(Network_Connections[[#This Row],[From1]],Assets[name],0))</f>
        <v>A00014</v>
      </c>
      <c r="D337" s="3" t="s">
        <v>146</v>
      </c>
      <c r="E337" s="3" t="str">
        <f xml:space="preserve"> SUBSTITUTE(RIGHT(SUBSTITUTE(Network_Connections[[#This Row],[to]],"_",REPT("*",10)),10),"*","")</f>
        <v>WS7</v>
      </c>
      <c r="F337" s="3" t="str">
        <f>INDEX(Assets[Asset_ID],MATCH(Network_Connections[[#This Row],[From2]],Assets[name],0))</f>
        <v>A00024</v>
      </c>
      <c r="G337" s="3" t="s">
        <v>145</v>
      </c>
      <c r="H337" s="3" t="s">
        <v>144</v>
      </c>
      <c r="I337" s="3">
        <v>0</v>
      </c>
      <c r="J33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7" s="3" t="str">
        <f>RIGHT(Network_Connections[[#This Row],[port/protocol]],LEN(Network_Connections[[#This Row],[port/protocol]])-FIND("/",Network_Connections[[#This Row],[port/protocol]]))</f>
        <v>0-65535</v>
      </c>
      <c r="L337" s="3">
        <f t="shared" si="6"/>
        <v>0</v>
      </c>
    </row>
    <row r="338" spans="1:12" x14ac:dyDescent="0.2">
      <c r="A338" s="3" t="s">
        <v>157</v>
      </c>
      <c r="B338" s="3" t="str">
        <f xml:space="preserve"> SUBSTITUTE(RIGHT(SUBSTITUTE(Network_Connections[[#This Row],[from]],"_",REPT("*",10)),10),"*","")</f>
        <v>WS1</v>
      </c>
      <c r="C338" s="3" t="str">
        <f>INDEX(Assets[Asset_ID],MATCH(Network_Connections[[#This Row],[From1]],Assets[name],0))</f>
        <v>A00014</v>
      </c>
      <c r="D338" s="3" t="s">
        <v>147</v>
      </c>
      <c r="E338" s="3" t="str">
        <f xml:space="preserve"> SUBSTITUTE(RIGHT(SUBSTITUTE(Network_Connections[[#This Row],[to]],"_",REPT("*",10)),10),"*","")</f>
        <v>WS8</v>
      </c>
      <c r="F338" s="3" t="str">
        <f>INDEX(Assets[Asset_ID],MATCH(Network_Connections[[#This Row],[From2]],Assets[name],0))</f>
        <v>A00025</v>
      </c>
      <c r="G338" s="3" t="s">
        <v>145</v>
      </c>
      <c r="H338" s="3" t="s">
        <v>144</v>
      </c>
      <c r="I338" s="3">
        <v>0</v>
      </c>
      <c r="J33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8" s="3" t="str">
        <f>RIGHT(Network_Connections[[#This Row],[port/protocol]],LEN(Network_Connections[[#This Row],[port/protocol]])-FIND("/",Network_Connections[[#This Row],[port/protocol]]))</f>
        <v>0-65535</v>
      </c>
      <c r="L338" s="3">
        <f t="shared" si="6"/>
        <v>0</v>
      </c>
    </row>
    <row r="339" spans="1:12" x14ac:dyDescent="0.2">
      <c r="A339" s="3" t="s">
        <v>156</v>
      </c>
      <c r="B339" s="3" t="str">
        <f xml:space="preserve"> SUBSTITUTE(RIGHT(SUBSTITUTE(Network_Connections[[#This Row],[from]],"_",REPT("*",10)),10),"*","")</f>
        <v>FW3</v>
      </c>
      <c r="C339" s="3" t="str">
        <f>INDEX(Assets[Asset_ID],MATCH(Network_Connections[[#This Row],[From1]],Assets[name],0))</f>
        <v>A00015</v>
      </c>
      <c r="D339" s="3" t="s">
        <v>171</v>
      </c>
      <c r="E339" s="3" t="str">
        <f xml:space="preserve"> SUBSTITUTE(RIGHT(SUBSTITUTE(Network_Connections[[#This Row],[to]],"_",REPT("*",10)),10),"*","")</f>
        <v>FW1</v>
      </c>
      <c r="F339" s="3" t="str">
        <f>INDEX(Assets[Asset_ID],MATCH(Network_Connections[[#This Row],[From2]],Assets[name],0))</f>
        <v>A00001</v>
      </c>
      <c r="G339" s="3" t="s">
        <v>145</v>
      </c>
      <c r="H339" s="3" t="s">
        <v>144</v>
      </c>
      <c r="I339" s="3">
        <v>0</v>
      </c>
      <c r="J33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39" s="3" t="str">
        <f>RIGHT(Network_Connections[[#This Row],[port/protocol]],LEN(Network_Connections[[#This Row],[port/protocol]])-FIND("/",Network_Connections[[#This Row],[port/protocol]]))</f>
        <v>0-65535</v>
      </c>
      <c r="L339" s="3">
        <f t="shared" si="6"/>
        <v>0</v>
      </c>
    </row>
    <row r="340" spans="1:12" x14ac:dyDescent="0.2">
      <c r="A340" s="3" t="s">
        <v>156</v>
      </c>
      <c r="B340" s="3" t="str">
        <f xml:space="preserve"> SUBSTITUTE(RIGHT(SUBSTITUTE(Network_Connections[[#This Row],[from]],"_",REPT("*",10)),10),"*","")</f>
        <v>FW3</v>
      </c>
      <c r="C340" s="3" t="str">
        <f>INDEX(Assets[Asset_ID],MATCH(Network_Connections[[#This Row],[From1]],Assets[name],0))</f>
        <v>A00015</v>
      </c>
      <c r="D340" s="3" t="s">
        <v>170</v>
      </c>
      <c r="E340" s="3" t="str">
        <f xml:space="preserve"> SUBSTITUTE(RIGHT(SUBSTITUTE(Network_Connections[[#This Row],[to]],"_",REPT("*",10)),10),"*","")</f>
        <v>VPNSRV</v>
      </c>
      <c r="F340" s="3" t="str">
        <f>INDEX(Assets[Asset_ID],MATCH(Network_Connections[[#This Row],[From2]],Assets[name],0))</f>
        <v>A00002</v>
      </c>
      <c r="G340" s="3" t="s">
        <v>145</v>
      </c>
      <c r="H340" s="3" t="s">
        <v>144</v>
      </c>
      <c r="I340" s="3">
        <v>0</v>
      </c>
      <c r="J34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0" s="3" t="str">
        <f>RIGHT(Network_Connections[[#This Row],[port/protocol]],LEN(Network_Connections[[#This Row],[port/protocol]])-FIND("/",Network_Connections[[#This Row],[port/protocol]]))</f>
        <v>0-65535</v>
      </c>
      <c r="L340" s="3">
        <f t="shared" si="6"/>
        <v>0</v>
      </c>
    </row>
    <row r="341" spans="1:12" x14ac:dyDescent="0.2">
      <c r="A341" s="3" t="s">
        <v>156</v>
      </c>
      <c r="B341" s="3" t="str">
        <f xml:space="preserve"> SUBSTITUTE(RIGHT(SUBSTITUTE(Network_Connections[[#This Row],[from]],"_",REPT("*",10)),10),"*","")</f>
        <v>FW3</v>
      </c>
      <c r="C341" s="3" t="str">
        <f>INDEX(Assets[Asset_ID],MATCH(Network_Connections[[#This Row],[From1]],Assets[name],0))</f>
        <v>A00015</v>
      </c>
      <c r="D341" s="3" t="s">
        <v>169</v>
      </c>
      <c r="E341" s="3" t="str">
        <f xml:space="preserve"> SUBSTITUTE(RIGHT(SUBSTITUTE(Network_Connections[[#This Row],[to]],"_",REPT("*",10)),10),"*","")</f>
        <v>WebSRV1</v>
      </c>
      <c r="F341" s="3" t="str">
        <f>INDEX(Assets[Asset_ID],MATCH(Network_Connections[[#This Row],[From2]],Assets[name],0))</f>
        <v>A00003</v>
      </c>
      <c r="G341" s="3" t="s">
        <v>145</v>
      </c>
      <c r="H341" s="3" t="s">
        <v>144</v>
      </c>
      <c r="I341" s="3">
        <v>0</v>
      </c>
      <c r="J34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1" s="3" t="str">
        <f>RIGHT(Network_Connections[[#This Row],[port/protocol]],LEN(Network_Connections[[#This Row],[port/protocol]])-FIND("/",Network_Connections[[#This Row],[port/protocol]]))</f>
        <v>0-65535</v>
      </c>
      <c r="L341" s="3">
        <f t="shared" si="6"/>
        <v>0</v>
      </c>
    </row>
    <row r="342" spans="1:12" x14ac:dyDescent="0.2">
      <c r="A342" s="3" t="s">
        <v>156</v>
      </c>
      <c r="B342" s="3" t="str">
        <f xml:space="preserve"> SUBSTITUTE(RIGHT(SUBSTITUTE(Network_Connections[[#This Row],[from]],"_",REPT("*",10)),10),"*","")</f>
        <v>FW3</v>
      </c>
      <c r="C342" s="3" t="str">
        <f>INDEX(Assets[Asset_ID],MATCH(Network_Connections[[#This Row],[From1]],Assets[name],0))</f>
        <v>A00015</v>
      </c>
      <c r="D342" s="3" t="s">
        <v>168</v>
      </c>
      <c r="E342" s="3" t="str">
        <f xml:space="preserve"> SUBSTITUTE(RIGHT(SUBSTITUTE(Network_Connections[[#This Row],[to]],"_",REPT("*",10)),10),"*","")</f>
        <v>WebSRV2</v>
      </c>
      <c r="F342" s="3" t="str">
        <f>INDEX(Assets[Asset_ID],MATCH(Network_Connections[[#This Row],[From2]],Assets[name],0))</f>
        <v>A00004</v>
      </c>
      <c r="G342" s="3" t="s">
        <v>145</v>
      </c>
      <c r="H342" s="3" t="s">
        <v>144</v>
      </c>
      <c r="I342" s="3">
        <v>0</v>
      </c>
      <c r="J34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2" s="3" t="str">
        <f>RIGHT(Network_Connections[[#This Row],[port/protocol]],LEN(Network_Connections[[#This Row],[port/protocol]])-FIND("/",Network_Connections[[#This Row],[port/protocol]]))</f>
        <v>0-65535</v>
      </c>
      <c r="L342" s="3">
        <f t="shared" si="6"/>
        <v>0</v>
      </c>
    </row>
    <row r="343" spans="1:12" x14ac:dyDescent="0.2">
      <c r="A343" s="3" t="s">
        <v>156</v>
      </c>
      <c r="B343" s="3" t="str">
        <f xml:space="preserve"> SUBSTITUTE(RIGHT(SUBSTITUTE(Network_Connections[[#This Row],[from]],"_",REPT("*",10)),10),"*","")</f>
        <v>FW3</v>
      </c>
      <c r="C343" s="3" t="str">
        <f>INDEX(Assets[Asset_ID],MATCH(Network_Connections[[#This Row],[From1]],Assets[name],0))</f>
        <v>A00015</v>
      </c>
      <c r="D343" s="3" t="s">
        <v>166</v>
      </c>
      <c r="E343" s="3" t="str">
        <f xml:space="preserve"> SUBSTITUTE(RIGHT(SUBSTITUTE(Network_Connections[[#This Row],[to]],"_",REPT("*",10)),10),"*","")</f>
        <v>FW2</v>
      </c>
      <c r="F343" s="3" t="str">
        <f>INDEX(Assets[Asset_ID],MATCH(Network_Connections[[#This Row],[From2]],Assets[name],0))</f>
        <v>A00005</v>
      </c>
      <c r="G343" s="3" t="s">
        <v>145</v>
      </c>
      <c r="H343" s="3" t="s">
        <v>144</v>
      </c>
      <c r="I343" s="3">
        <v>1</v>
      </c>
      <c r="J34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"A00015"-&gt;"A00005"@00:("IP", "0-65535");</v>
      </c>
      <c r="K343" s="3" t="str">
        <f>RIGHT(Network_Connections[[#This Row],[port/protocol]],LEN(Network_Connections[[#This Row],[port/protocol]])-FIND("/",Network_Connections[[#This Row],[port/protocol]]))</f>
        <v>0-65535</v>
      </c>
      <c r="L343" s="3">
        <f t="shared" si="6"/>
        <v>0</v>
      </c>
    </row>
    <row r="344" spans="1:12" x14ac:dyDescent="0.2">
      <c r="A344" s="3" t="s">
        <v>156</v>
      </c>
      <c r="B344" s="3" t="str">
        <f xml:space="preserve"> SUBSTITUTE(RIGHT(SUBSTITUTE(Network_Connections[[#This Row],[from]],"_",REPT("*",10)),10),"*","")</f>
        <v>FW3</v>
      </c>
      <c r="C344" s="3" t="str">
        <f>INDEX(Assets[Asset_ID],MATCH(Network_Connections[[#This Row],[From1]],Assets[name],0))</f>
        <v>A00015</v>
      </c>
      <c r="D344" s="3" t="s">
        <v>165</v>
      </c>
      <c r="E344" s="3" t="str">
        <f xml:space="preserve"> SUBSTITUTE(RIGHT(SUBSTITUTE(Network_Connections[[#This Row],[to]],"_",REPT("*",10)),10),"*","")</f>
        <v>SW1</v>
      </c>
      <c r="F344" s="3" t="str">
        <f>INDEX(Assets[Asset_ID],MATCH(Network_Connections[[#This Row],[From2]],Assets[name],0))</f>
        <v>A00006</v>
      </c>
      <c r="G344" s="3" t="s">
        <v>145</v>
      </c>
      <c r="H344" s="3" t="s">
        <v>144</v>
      </c>
      <c r="I344" s="3">
        <v>0</v>
      </c>
      <c r="J34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4" s="3" t="str">
        <f>RIGHT(Network_Connections[[#This Row],[port/protocol]],LEN(Network_Connections[[#This Row],[port/protocol]])-FIND("/",Network_Connections[[#This Row],[port/protocol]]))</f>
        <v>0-65535</v>
      </c>
      <c r="L344" s="3">
        <f t="shared" si="6"/>
        <v>0</v>
      </c>
    </row>
    <row r="345" spans="1:12" x14ac:dyDescent="0.2">
      <c r="A345" s="3" t="s">
        <v>156</v>
      </c>
      <c r="B345" s="3" t="str">
        <f xml:space="preserve"> SUBSTITUTE(RIGHT(SUBSTITUTE(Network_Connections[[#This Row],[from]],"_",REPT("*",10)),10),"*","")</f>
        <v>FW3</v>
      </c>
      <c r="C345" s="3" t="str">
        <f>INDEX(Assets[Asset_ID],MATCH(Network_Connections[[#This Row],[From1]],Assets[name],0))</f>
        <v>A00015</v>
      </c>
      <c r="D345" s="3" t="s">
        <v>164</v>
      </c>
      <c r="E345" s="3" t="str">
        <f xml:space="preserve"> SUBSTITUTE(RIGHT(SUBSTITUTE(Network_Connections[[#This Row],[to]],"_",REPT("*",10)),10),"*","")</f>
        <v>AD</v>
      </c>
      <c r="F345" s="3" t="str">
        <f>INDEX(Assets[Asset_ID],MATCH(Network_Connections[[#This Row],[From2]],Assets[name],0))</f>
        <v>A00007</v>
      </c>
      <c r="G345" s="3" t="s">
        <v>145</v>
      </c>
      <c r="H345" s="3" t="s">
        <v>144</v>
      </c>
      <c r="I345" s="3">
        <v>0</v>
      </c>
      <c r="J34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5" s="3" t="str">
        <f>RIGHT(Network_Connections[[#This Row],[port/protocol]],LEN(Network_Connections[[#This Row],[port/protocol]])-FIND("/",Network_Connections[[#This Row],[port/protocol]]))</f>
        <v>0-65535</v>
      </c>
      <c r="L345" s="3">
        <f t="shared" si="6"/>
        <v>0</v>
      </c>
    </row>
    <row r="346" spans="1:12" x14ac:dyDescent="0.2">
      <c r="A346" s="3" t="s">
        <v>156</v>
      </c>
      <c r="B346" s="3" t="str">
        <f xml:space="preserve"> SUBSTITUTE(RIGHT(SUBSTITUTE(Network_Connections[[#This Row],[from]],"_",REPT("*",10)),10),"*","")</f>
        <v>FW3</v>
      </c>
      <c r="C346" s="3" t="str">
        <f>INDEX(Assets[Asset_ID],MATCH(Network_Connections[[#This Row],[From1]],Assets[name],0))</f>
        <v>A00015</v>
      </c>
      <c r="D346" s="3" t="s">
        <v>163</v>
      </c>
      <c r="E346" s="3" t="str">
        <f xml:space="preserve"> SUBSTITUTE(RIGHT(SUBSTITUTE(Network_Connections[[#This Row],[to]],"_",REPT("*",10)),10),"*","")</f>
        <v>ERP</v>
      </c>
      <c r="F346" s="3" t="str">
        <f>INDEX(Assets[Asset_ID],MATCH(Network_Connections[[#This Row],[From2]],Assets[name],0))</f>
        <v>A00008</v>
      </c>
      <c r="G346" s="3" t="s">
        <v>145</v>
      </c>
      <c r="H346" s="3" t="s">
        <v>144</v>
      </c>
      <c r="I346" s="3">
        <v>0</v>
      </c>
      <c r="J34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6" s="3" t="str">
        <f>RIGHT(Network_Connections[[#This Row],[port/protocol]],LEN(Network_Connections[[#This Row],[port/protocol]])-FIND("/",Network_Connections[[#This Row],[port/protocol]]))</f>
        <v>0-65535</v>
      </c>
      <c r="L346" s="3">
        <f t="shared" si="6"/>
        <v>0</v>
      </c>
    </row>
    <row r="347" spans="1:12" x14ac:dyDescent="0.2">
      <c r="A347" s="3" t="s">
        <v>156</v>
      </c>
      <c r="B347" s="3" t="str">
        <f xml:space="preserve"> SUBSTITUTE(RIGHT(SUBSTITUTE(Network_Connections[[#This Row],[from]],"_",REPT("*",10)),10),"*","")</f>
        <v>FW3</v>
      </c>
      <c r="C347" s="3" t="str">
        <f>INDEX(Assets[Asset_ID],MATCH(Network_Connections[[#This Row],[From1]],Assets[name],0))</f>
        <v>A00015</v>
      </c>
      <c r="D347" s="3" t="s">
        <v>162</v>
      </c>
      <c r="E347" s="3" t="str">
        <f xml:space="preserve"> SUBSTITUTE(RIGHT(SUBSTITUTE(Network_Connections[[#This Row],[to]],"_",REPT("*",10)),10),"*","")</f>
        <v>Banking</v>
      </c>
      <c r="F347" s="3" t="str">
        <f>INDEX(Assets[Asset_ID],MATCH(Network_Connections[[#This Row],[From2]],Assets[name],0))</f>
        <v>A00009</v>
      </c>
      <c r="G347" s="3" t="s">
        <v>145</v>
      </c>
      <c r="H347" s="3" t="s">
        <v>144</v>
      </c>
      <c r="I347" s="3">
        <v>0</v>
      </c>
      <c r="J34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7" s="3" t="str">
        <f>RIGHT(Network_Connections[[#This Row],[port/protocol]],LEN(Network_Connections[[#This Row],[port/protocol]])-FIND("/",Network_Connections[[#This Row],[port/protocol]]))</f>
        <v>0-65535</v>
      </c>
      <c r="L347" s="3">
        <f t="shared" si="6"/>
        <v>0</v>
      </c>
    </row>
    <row r="348" spans="1:12" x14ac:dyDescent="0.2">
      <c r="A348" s="3" t="s">
        <v>156</v>
      </c>
      <c r="B348" s="3" t="str">
        <f xml:space="preserve"> SUBSTITUTE(RIGHT(SUBSTITUTE(Network_Connections[[#This Row],[from]],"_",REPT("*",10)),10),"*","")</f>
        <v>FW3</v>
      </c>
      <c r="C348" s="3" t="str">
        <f>INDEX(Assets[Asset_ID],MATCH(Network_Connections[[#This Row],[From1]],Assets[name],0))</f>
        <v>A00015</v>
      </c>
      <c r="D348" s="3" t="s">
        <v>161</v>
      </c>
      <c r="E348" s="3" t="str">
        <f xml:space="preserve"> SUBSTITUTE(RIGHT(SUBSTITUTE(Network_Connections[[#This Row],[to]],"_",REPT("*",10)),10),"*","")</f>
        <v>Email</v>
      </c>
      <c r="F348" s="3" t="str">
        <f>INDEX(Assets[Asset_ID],MATCH(Network_Connections[[#This Row],[From2]],Assets[name],0))</f>
        <v>A00010</v>
      </c>
      <c r="G348" s="3" t="s">
        <v>145</v>
      </c>
      <c r="H348" s="3" t="s">
        <v>144</v>
      </c>
      <c r="I348" s="3">
        <v>0</v>
      </c>
      <c r="J34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8" s="3" t="str">
        <f>RIGHT(Network_Connections[[#This Row],[port/protocol]],LEN(Network_Connections[[#This Row],[port/protocol]])-FIND("/",Network_Connections[[#This Row],[port/protocol]]))</f>
        <v>0-65535</v>
      </c>
      <c r="L348" s="3">
        <f t="shared" si="6"/>
        <v>0</v>
      </c>
    </row>
    <row r="349" spans="1:12" x14ac:dyDescent="0.2">
      <c r="A349" s="3" t="s">
        <v>156</v>
      </c>
      <c r="B349" s="3" t="str">
        <f xml:space="preserve"> SUBSTITUTE(RIGHT(SUBSTITUTE(Network_Connections[[#This Row],[from]],"_",REPT("*",10)),10),"*","")</f>
        <v>FW3</v>
      </c>
      <c r="C349" s="3" t="str">
        <f>INDEX(Assets[Asset_ID],MATCH(Network_Connections[[#This Row],[From1]],Assets[name],0))</f>
        <v>A00015</v>
      </c>
      <c r="D349" s="3" t="s">
        <v>160</v>
      </c>
      <c r="E349" s="3" t="str">
        <f xml:space="preserve"> SUBSTITUTE(RIGHT(SUBSTITUTE(Network_Connections[[#This Row],[to]],"_",REPT("*",10)),10),"*","")</f>
        <v>WMS</v>
      </c>
      <c r="F349" s="3" t="str">
        <f>INDEX(Assets[Asset_ID],MATCH(Network_Connections[[#This Row],[From2]],Assets[name],0))</f>
        <v>A00011</v>
      </c>
      <c r="G349" s="3" t="s">
        <v>145</v>
      </c>
      <c r="H349" s="3" t="s">
        <v>144</v>
      </c>
      <c r="I349" s="3">
        <v>0</v>
      </c>
      <c r="J34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49" s="3" t="str">
        <f>RIGHT(Network_Connections[[#This Row],[port/protocol]],LEN(Network_Connections[[#This Row],[port/protocol]])-FIND("/",Network_Connections[[#This Row],[port/protocol]]))</f>
        <v>0-65535</v>
      </c>
      <c r="L349" s="3">
        <f t="shared" si="6"/>
        <v>0</v>
      </c>
    </row>
    <row r="350" spans="1:12" x14ac:dyDescent="0.2">
      <c r="A350" s="3" t="s">
        <v>156</v>
      </c>
      <c r="B350" s="3" t="str">
        <f xml:space="preserve"> SUBSTITUTE(RIGHT(SUBSTITUTE(Network_Connections[[#This Row],[from]],"_",REPT("*",10)),10),"*","")</f>
        <v>FW3</v>
      </c>
      <c r="C350" s="3" t="str">
        <f>INDEX(Assets[Asset_ID],MATCH(Network_Connections[[#This Row],[From1]],Assets[name],0))</f>
        <v>A00015</v>
      </c>
      <c r="D350" s="3" t="s">
        <v>159</v>
      </c>
      <c r="E350" s="3" t="str">
        <f xml:space="preserve"> SUBSTITUTE(RIGHT(SUBSTITUTE(Network_Connections[[#This Row],[to]],"_",REPT("*",10)),10),"*","")</f>
        <v>CRM</v>
      </c>
      <c r="F350" s="3" t="str">
        <f>INDEX(Assets[Asset_ID],MATCH(Network_Connections[[#This Row],[From2]],Assets[name],0))</f>
        <v>A00012</v>
      </c>
      <c r="G350" s="3" t="s">
        <v>145</v>
      </c>
      <c r="H350" s="3" t="s">
        <v>144</v>
      </c>
      <c r="I350" s="3">
        <v>0</v>
      </c>
      <c r="J35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50" s="3" t="str">
        <f>RIGHT(Network_Connections[[#This Row],[port/protocol]],LEN(Network_Connections[[#This Row],[port/protocol]])-FIND("/",Network_Connections[[#This Row],[port/protocol]]))</f>
        <v>0-65535</v>
      </c>
      <c r="L350" s="3">
        <f t="shared" si="6"/>
        <v>0</v>
      </c>
    </row>
    <row r="351" spans="1:12" x14ac:dyDescent="0.2">
      <c r="A351" s="3" t="s">
        <v>156</v>
      </c>
      <c r="B351" s="3" t="str">
        <f xml:space="preserve"> SUBSTITUTE(RIGHT(SUBSTITUTE(Network_Connections[[#This Row],[from]],"_",REPT("*",10)),10),"*","")</f>
        <v>FW3</v>
      </c>
      <c r="C351" s="3" t="str">
        <f>INDEX(Assets[Asset_ID],MATCH(Network_Connections[[#This Row],[From1]],Assets[name],0))</f>
        <v>A00015</v>
      </c>
      <c r="D351" s="3" t="s">
        <v>158</v>
      </c>
      <c r="E351" s="3" t="str">
        <f xml:space="preserve"> SUBSTITUTE(RIGHT(SUBSTITUTE(Network_Connections[[#This Row],[to]],"_",REPT("*",10)),10),"*","")</f>
        <v>WIFI1</v>
      </c>
      <c r="F351" s="3" t="str">
        <f>INDEX(Assets[Asset_ID],MATCH(Network_Connections[[#This Row],[From2]],Assets[name],0))</f>
        <v>A00013</v>
      </c>
      <c r="G351" s="3" t="s">
        <v>145</v>
      </c>
      <c r="H351" s="3" t="s">
        <v>144</v>
      </c>
      <c r="I351" s="3">
        <v>1</v>
      </c>
      <c r="J35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"A00015"-&gt;"A00013"@00:("IP", "0-65535");</v>
      </c>
      <c r="K351" s="3" t="str">
        <f>RIGHT(Network_Connections[[#This Row],[port/protocol]],LEN(Network_Connections[[#This Row],[port/protocol]])-FIND("/",Network_Connections[[#This Row],[port/protocol]]))</f>
        <v>0-65535</v>
      </c>
      <c r="L351" s="3">
        <f t="shared" si="6"/>
        <v>0</v>
      </c>
    </row>
    <row r="352" spans="1:12" x14ac:dyDescent="0.2">
      <c r="A352" s="3" t="s">
        <v>156</v>
      </c>
      <c r="B352" s="3" t="str">
        <f xml:space="preserve"> SUBSTITUTE(RIGHT(SUBSTITUTE(Network_Connections[[#This Row],[from]],"_",REPT("*",10)),10),"*","")</f>
        <v>FW3</v>
      </c>
      <c r="C352" s="3" t="str">
        <f>INDEX(Assets[Asset_ID],MATCH(Network_Connections[[#This Row],[From1]],Assets[name],0))</f>
        <v>A00015</v>
      </c>
      <c r="D352" s="3" t="s">
        <v>157</v>
      </c>
      <c r="E352" s="3" t="str">
        <f xml:space="preserve"> SUBSTITUTE(RIGHT(SUBSTITUTE(Network_Connections[[#This Row],[to]],"_",REPT("*",10)),10),"*","")</f>
        <v>WS1</v>
      </c>
      <c r="F352" s="3" t="str">
        <f>INDEX(Assets[Asset_ID],MATCH(Network_Connections[[#This Row],[From2]],Assets[name],0))</f>
        <v>A00014</v>
      </c>
      <c r="G352" s="3" t="s">
        <v>145</v>
      </c>
      <c r="H352" s="3" t="s">
        <v>144</v>
      </c>
      <c r="I352" s="3">
        <v>1</v>
      </c>
      <c r="J35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"A00015"-&gt;"A00014"@00:("IP", "0-65535");</v>
      </c>
      <c r="K352" s="3" t="str">
        <f>RIGHT(Network_Connections[[#This Row],[port/protocol]],LEN(Network_Connections[[#This Row],[port/protocol]])-FIND("/",Network_Connections[[#This Row],[port/protocol]]))</f>
        <v>0-65535</v>
      </c>
      <c r="L352" s="3">
        <f t="shared" si="6"/>
        <v>0</v>
      </c>
    </row>
    <row r="353" spans="1:18" x14ac:dyDescent="0.2">
      <c r="A353" s="3" t="s">
        <v>156</v>
      </c>
      <c r="B353" s="3" t="str">
        <f xml:space="preserve"> SUBSTITUTE(RIGHT(SUBSTITUTE(Network_Connections[[#This Row],[from]],"_",REPT("*",10)),10),"*","")</f>
        <v>FW3</v>
      </c>
      <c r="C353" s="3" t="str">
        <f>INDEX(Assets[Asset_ID],MATCH(Network_Connections[[#This Row],[From1]],Assets[name],0))</f>
        <v>A00015</v>
      </c>
      <c r="D353" s="3" t="s">
        <v>155</v>
      </c>
      <c r="E353" s="3" t="str">
        <f xml:space="preserve"> SUBSTITUTE(RIGHT(SUBSTITUTE(Network_Connections[[#This Row],[to]],"_",REPT("*",10)),10),"*","")</f>
        <v>SW2</v>
      </c>
      <c r="F353" s="3" t="str">
        <f>INDEX(Assets[Asset_ID],MATCH(Network_Connections[[#This Row],[From2]],Assets[name],0))</f>
        <v>A00016</v>
      </c>
      <c r="G353" s="3" t="s">
        <v>145</v>
      </c>
      <c r="H353" s="3" t="s">
        <v>144</v>
      </c>
      <c r="I353" s="3">
        <v>1</v>
      </c>
      <c r="J35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"A00015"-&gt;"A00016"@00:("IP", "0-65535");</v>
      </c>
      <c r="K353" s="3" t="str">
        <f>RIGHT(Network_Connections[[#This Row],[port/protocol]],LEN(Network_Connections[[#This Row],[port/protocol]])-FIND("/",Network_Connections[[#This Row],[port/protocol]]))</f>
        <v>0-65535</v>
      </c>
      <c r="L353" s="3">
        <f t="shared" si="6"/>
        <v>0</v>
      </c>
    </row>
    <row r="354" spans="1:18" x14ac:dyDescent="0.2">
      <c r="A354" s="3" t="s">
        <v>156</v>
      </c>
      <c r="B354" s="3" t="str">
        <f xml:space="preserve"> SUBSTITUTE(RIGHT(SUBSTITUTE(Network_Connections[[#This Row],[from]],"_",REPT("*",10)),10),"*","")</f>
        <v>FW3</v>
      </c>
      <c r="C354" s="3" t="str">
        <f>INDEX(Assets[Asset_ID],MATCH(Network_Connections[[#This Row],[From1]],Assets[name],0))</f>
        <v>A00015</v>
      </c>
      <c r="D354" s="3" t="s">
        <v>154</v>
      </c>
      <c r="E354" s="3" t="str">
        <f xml:space="preserve"> SUBSTITUTE(RIGHT(SUBSTITUTE(Network_Connections[[#This Row],[to]],"_",REPT("*",10)),10),"*","")</f>
        <v>WS2</v>
      </c>
      <c r="F354" s="3" t="str">
        <f>INDEX(Assets[Asset_ID],MATCH(Network_Connections[[#This Row],[From2]],Assets[name],0))</f>
        <v>A00017</v>
      </c>
      <c r="G354" s="3" t="s">
        <v>145</v>
      </c>
      <c r="H354" s="3" t="s">
        <v>144</v>
      </c>
      <c r="I354" s="3">
        <v>0</v>
      </c>
      <c r="J35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54" s="3" t="str">
        <f>RIGHT(Network_Connections[[#This Row],[port/protocol]],LEN(Network_Connections[[#This Row],[port/protocol]])-FIND("/",Network_Connections[[#This Row],[port/protocol]]))</f>
        <v>0-65535</v>
      </c>
      <c r="L354" s="3">
        <f t="shared" si="6"/>
        <v>0</v>
      </c>
    </row>
    <row r="355" spans="1:18" x14ac:dyDescent="0.2">
      <c r="A355" s="3" t="s">
        <v>156</v>
      </c>
      <c r="B355" s="3" t="str">
        <f xml:space="preserve"> SUBSTITUTE(RIGHT(SUBSTITUTE(Network_Connections[[#This Row],[from]],"_",REPT("*",10)),10),"*","")</f>
        <v>FW3</v>
      </c>
      <c r="C355" s="3" t="str">
        <f>INDEX(Assets[Asset_ID],MATCH(Network_Connections[[#This Row],[From1]],Assets[name],0))</f>
        <v>A00015</v>
      </c>
      <c r="D355" s="3" t="s">
        <v>153</v>
      </c>
      <c r="E355" s="3" t="str">
        <f xml:space="preserve"> SUBSTITUTE(RIGHT(SUBSTITUTE(Network_Connections[[#This Row],[to]],"_",REPT("*",10)),10),"*","")</f>
        <v>WS3</v>
      </c>
      <c r="F355" s="3" t="str">
        <f>INDEX(Assets[Asset_ID],MATCH(Network_Connections[[#This Row],[From2]],Assets[name],0))</f>
        <v>A00018</v>
      </c>
      <c r="G355" s="3" t="s">
        <v>145</v>
      </c>
      <c r="H355" s="3" t="s">
        <v>144</v>
      </c>
      <c r="I355" s="3">
        <v>0</v>
      </c>
      <c r="J35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55" s="3" t="str">
        <f>RIGHT(Network_Connections[[#This Row],[port/protocol]],LEN(Network_Connections[[#This Row],[port/protocol]])-FIND("/",Network_Connections[[#This Row],[port/protocol]]))</f>
        <v>0-65535</v>
      </c>
      <c r="L355" s="3">
        <f t="shared" si="6"/>
        <v>0</v>
      </c>
    </row>
    <row r="356" spans="1:18" x14ac:dyDescent="0.2">
      <c r="A356" s="3" t="s">
        <v>156</v>
      </c>
      <c r="B356" s="3" t="str">
        <f xml:space="preserve"> SUBSTITUTE(RIGHT(SUBSTITUTE(Network_Connections[[#This Row],[from]],"_",REPT("*",10)),10),"*","")</f>
        <v>FW3</v>
      </c>
      <c r="C356" s="3" t="str">
        <f>INDEX(Assets[Asset_ID],MATCH(Network_Connections[[#This Row],[From1]],Assets[name],0))</f>
        <v>A00015</v>
      </c>
      <c r="D356" s="3" t="s">
        <v>152</v>
      </c>
      <c r="E356" s="3" t="str">
        <f xml:space="preserve"> SUBSTITUTE(RIGHT(SUBSTITUTE(Network_Connections[[#This Row],[to]],"_",REPT("*",10)),10),"*","")</f>
        <v>WS4</v>
      </c>
      <c r="F356" s="3" t="str">
        <f>INDEX(Assets[Asset_ID],MATCH(Network_Connections[[#This Row],[From2]],Assets[name],0))</f>
        <v>A00019</v>
      </c>
      <c r="G356" s="3" t="s">
        <v>145</v>
      </c>
      <c r="H356" s="3" t="s">
        <v>144</v>
      </c>
      <c r="I356" s="3">
        <v>0</v>
      </c>
      <c r="J35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56" s="3" t="str">
        <f>RIGHT(Network_Connections[[#This Row],[port/protocol]],LEN(Network_Connections[[#This Row],[port/protocol]])-FIND("/",Network_Connections[[#This Row],[port/protocol]]))</f>
        <v>0-65535</v>
      </c>
      <c r="L356" s="3">
        <f t="shared" si="6"/>
        <v>0</v>
      </c>
    </row>
    <row r="357" spans="1:18" x14ac:dyDescent="0.2">
      <c r="A357" s="3" t="s">
        <v>156</v>
      </c>
      <c r="B357" s="3" t="str">
        <f xml:space="preserve"> SUBSTITUTE(RIGHT(SUBSTITUTE(Network_Connections[[#This Row],[from]],"_",REPT("*",10)),10),"*","")</f>
        <v>FW3</v>
      </c>
      <c r="C357" s="3" t="str">
        <f>INDEX(Assets[Asset_ID],MATCH(Network_Connections[[#This Row],[From1]],Assets[name],0))</f>
        <v>A00015</v>
      </c>
      <c r="D357" s="3" t="s">
        <v>151</v>
      </c>
      <c r="E357" s="3" t="str">
        <f xml:space="preserve"> SUBSTITUTE(RIGHT(SUBSTITUTE(Network_Connections[[#This Row],[to]],"_",REPT("*",10)),10),"*","")</f>
        <v>FW4</v>
      </c>
      <c r="F357" s="3" t="str">
        <f>INDEX(Assets[Asset_ID],MATCH(Network_Connections[[#This Row],[From2]],Assets[name],0))</f>
        <v>A00020</v>
      </c>
      <c r="G357" s="3" t="s">
        <v>145</v>
      </c>
      <c r="H357" s="3" t="s">
        <v>144</v>
      </c>
      <c r="I357" s="3">
        <v>0</v>
      </c>
      <c r="J35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57" s="3" t="str">
        <f>RIGHT(Network_Connections[[#This Row],[port/protocol]],LEN(Network_Connections[[#This Row],[port/protocol]])-FIND("/",Network_Connections[[#This Row],[port/protocol]]))</f>
        <v>0-65535</v>
      </c>
      <c r="L357" s="3">
        <f t="shared" si="6"/>
        <v>0</v>
      </c>
    </row>
    <row r="358" spans="1:18" x14ac:dyDescent="0.2">
      <c r="A358" s="3" t="s">
        <v>156</v>
      </c>
      <c r="B358" s="3" t="str">
        <f xml:space="preserve"> SUBSTITUTE(RIGHT(SUBSTITUTE(Network_Connections[[#This Row],[from]],"_",REPT("*",10)),10),"*","")</f>
        <v>FW3</v>
      </c>
      <c r="C358" s="3" t="str">
        <f>INDEX(Assets[Asset_ID],MATCH(Network_Connections[[#This Row],[From1]],Assets[name],0))</f>
        <v>A00015</v>
      </c>
      <c r="D358" s="3" t="s">
        <v>150</v>
      </c>
      <c r="E358" s="3" t="str">
        <f xml:space="preserve"> SUBSTITUTE(RIGHT(SUBSTITUTE(Network_Connections[[#This Row],[to]],"_",REPT("*",10)),10),"*","")</f>
        <v>WIFI2</v>
      </c>
      <c r="F358" s="3" t="str">
        <f>INDEX(Assets[Asset_ID],MATCH(Network_Connections[[#This Row],[From2]],Assets[name],0))</f>
        <v>A00021</v>
      </c>
      <c r="G358" s="3" t="s">
        <v>145</v>
      </c>
      <c r="H358" s="3" t="s">
        <v>144</v>
      </c>
      <c r="I358" s="3">
        <v>0</v>
      </c>
      <c r="J35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58" s="3" t="str">
        <f>RIGHT(Network_Connections[[#This Row],[port/protocol]],LEN(Network_Connections[[#This Row],[port/protocol]])-FIND("/",Network_Connections[[#This Row],[port/protocol]]))</f>
        <v>0-65535</v>
      </c>
      <c r="L358" s="3">
        <f t="shared" si="6"/>
        <v>0</v>
      </c>
    </row>
    <row r="359" spans="1:18" x14ac:dyDescent="0.2">
      <c r="A359" s="3" t="s">
        <v>156</v>
      </c>
      <c r="B359" s="3" t="str">
        <f xml:space="preserve"> SUBSTITUTE(RIGHT(SUBSTITUTE(Network_Connections[[#This Row],[from]],"_",REPT("*",10)),10),"*","")</f>
        <v>FW3</v>
      </c>
      <c r="C359" s="3" t="str">
        <f>INDEX(Assets[Asset_ID],MATCH(Network_Connections[[#This Row],[From1]],Assets[name],0))</f>
        <v>A00015</v>
      </c>
      <c r="D359" s="3" t="s">
        <v>149</v>
      </c>
      <c r="E359" s="3" t="str">
        <f xml:space="preserve"> SUBSTITUTE(RIGHT(SUBSTITUTE(Network_Connections[[#This Row],[to]],"_",REPT("*",10)),10),"*","")</f>
        <v>WS5</v>
      </c>
      <c r="F359" s="3" t="str">
        <f>INDEX(Assets[Asset_ID],MATCH(Network_Connections[[#This Row],[From2]],Assets[name],0))</f>
        <v>A00022</v>
      </c>
      <c r="G359" s="3" t="s">
        <v>145</v>
      </c>
      <c r="H359" s="3" t="s">
        <v>144</v>
      </c>
      <c r="I359" s="3">
        <v>0</v>
      </c>
      <c r="J35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59" s="3" t="str">
        <f>RIGHT(Network_Connections[[#This Row],[port/protocol]],LEN(Network_Connections[[#This Row],[port/protocol]])-FIND("/",Network_Connections[[#This Row],[port/protocol]]))</f>
        <v>0-65535</v>
      </c>
      <c r="L359" s="3">
        <f t="shared" si="6"/>
        <v>0</v>
      </c>
    </row>
    <row r="360" spans="1:18" x14ac:dyDescent="0.2">
      <c r="A360" s="3" t="s">
        <v>156</v>
      </c>
      <c r="B360" s="3" t="str">
        <f xml:space="preserve"> SUBSTITUTE(RIGHT(SUBSTITUTE(Network_Connections[[#This Row],[from]],"_",REPT("*",10)),10),"*","")</f>
        <v>FW3</v>
      </c>
      <c r="C360" s="3" t="str">
        <f>INDEX(Assets[Asset_ID],MATCH(Network_Connections[[#This Row],[From1]],Assets[name],0))</f>
        <v>A00015</v>
      </c>
      <c r="D360" s="3" t="s">
        <v>148</v>
      </c>
      <c r="E360" s="3" t="str">
        <f xml:space="preserve"> SUBSTITUTE(RIGHT(SUBSTITUTE(Network_Connections[[#This Row],[to]],"_",REPT("*",10)),10),"*","")</f>
        <v>WS6</v>
      </c>
      <c r="F360" s="3" t="str">
        <f>INDEX(Assets[Asset_ID],MATCH(Network_Connections[[#This Row],[From2]],Assets[name],0))</f>
        <v>A00023</v>
      </c>
      <c r="G360" s="3" t="s">
        <v>145</v>
      </c>
      <c r="H360" s="3" t="s">
        <v>144</v>
      </c>
      <c r="I360" s="3">
        <v>0</v>
      </c>
      <c r="J36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0" s="3" t="str">
        <f>RIGHT(Network_Connections[[#This Row],[port/protocol]],LEN(Network_Connections[[#This Row],[port/protocol]])-FIND("/",Network_Connections[[#This Row],[port/protocol]]))</f>
        <v>0-65535</v>
      </c>
      <c r="L360" s="3">
        <f t="shared" si="6"/>
        <v>0</v>
      </c>
    </row>
    <row r="361" spans="1:18" x14ac:dyDescent="0.2">
      <c r="A361" s="3" t="s">
        <v>156</v>
      </c>
      <c r="B361" s="3" t="str">
        <f xml:space="preserve"> SUBSTITUTE(RIGHT(SUBSTITUTE(Network_Connections[[#This Row],[from]],"_",REPT("*",10)),10),"*","")</f>
        <v>FW3</v>
      </c>
      <c r="C361" s="3" t="str">
        <f>INDEX(Assets[Asset_ID],MATCH(Network_Connections[[#This Row],[From1]],Assets[name],0))</f>
        <v>A00015</v>
      </c>
      <c r="D361" s="3" t="s">
        <v>146</v>
      </c>
      <c r="E361" s="3" t="str">
        <f xml:space="preserve"> SUBSTITUTE(RIGHT(SUBSTITUTE(Network_Connections[[#This Row],[to]],"_",REPT("*",10)),10),"*","")</f>
        <v>WS7</v>
      </c>
      <c r="F361" s="3" t="str">
        <f>INDEX(Assets[Asset_ID],MATCH(Network_Connections[[#This Row],[From2]],Assets[name],0))</f>
        <v>A00024</v>
      </c>
      <c r="G361" s="3" t="s">
        <v>145</v>
      </c>
      <c r="H361" s="3" t="s">
        <v>144</v>
      </c>
      <c r="I361" s="3">
        <v>0</v>
      </c>
      <c r="J36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1" s="3" t="str">
        <f>RIGHT(Network_Connections[[#This Row],[port/protocol]],LEN(Network_Connections[[#This Row],[port/protocol]])-FIND("/",Network_Connections[[#This Row],[port/protocol]]))</f>
        <v>0-65535</v>
      </c>
      <c r="L361" s="3">
        <f t="shared" si="6"/>
        <v>0</v>
      </c>
    </row>
    <row r="362" spans="1:18" x14ac:dyDescent="0.2">
      <c r="A362" s="3" t="s">
        <v>156</v>
      </c>
      <c r="B362" s="3" t="str">
        <f xml:space="preserve"> SUBSTITUTE(RIGHT(SUBSTITUTE(Network_Connections[[#This Row],[from]],"_",REPT("*",10)),10),"*","")</f>
        <v>FW3</v>
      </c>
      <c r="C362" s="3" t="str">
        <f>INDEX(Assets[Asset_ID],MATCH(Network_Connections[[#This Row],[From1]],Assets[name],0))</f>
        <v>A00015</v>
      </c>
      <c r="D362" s="3" t="s">
        <v>147</v>
      </c>
      <c r="E362" s="3" t="str">
        <f xml:space="preserve"> SUBSTITUTE(RIGHT(SUBSTITUTE(Network_Connections[[#This Row],[to]],"_",REPT("*",10)),10),"*","")</f>
        <v>WS8</v>
      </c>
      <c r="F362" s="3" t="str">
        <f>INDEX(Assets[Asset_ID],MATCH(Network_Connections[[#This Row],[From2]],Assets[name],0))</f>
        <v>A00025</v>
      </c>
      <c r="G362" s="3" t="s">
        <v>145</v>
      </c>
      <c r="H362" s="3" t="s">
        <v>144</v>
      </c>
      <c r="I362" s="3">
        <v>0</v>
      </c>
      <c r="J36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2" s="3" t="str">
        <f>RIGHT(Network_Connections[[#This Row],[port/protocol]],LEN(Network_Connections[[#This Row],[port/protocol]])-FIND("/",Network_Connections[[#This Row],[port/protocol]]))</f>
        <v>0-65535</v>
      </c>
      <c r="L362" s="3">
        <f t="shared" si="6"/>
        <v>0</v>
      </c>
    </row>
    <row r="363" spans="1:18" x14ac:dyDescent="0.2">
      <c r="A363" s="3" t="s">
        <v>155</v>
      </c>
      <c r="B363" s="3" t="str">
        <f xml:space="preserve"> SUBSTITUTE(RIGHT(SUBSTITUTE(Network_Connections[[#This Row],[from]],"_",REPT("*",10)),10),"*","")</f>
        <v>SW2</v>
      </c>
      <c r="C363" s="3" t="str">
        <f>INDEX(Assets[Asset_ID],MATCH(Network_Connections[[#This Row],[From1]],Assets[name],0))</f>
        <v>A00016</v>
      </c>
      <c r="D363" s="3" t="s">
        <v>171</v>
      </c>
      <c r="E363" s="3" t="str">
        <f xml:space="preserve"> SUBSTITUTE(RIGHT(SUBSTITUTE(Network_Connections[[#This Row],[to]],"_",REPT("*",10)),10),"*","")</f>
        <v>FW1</v>
      </c>
      <c r="F363" s="3" t="str">
        <f>INDEX(Assets[Asset_ID],MATCH(Network_Connections[[#This Row],[From2]],Assets[name],0))</f>
        <v>A00001</v>
      </c>
      <c r="G363" s="3" t="s">
        <v>145</v>
      </c>
      <c r="H363" s="3" t="s">
        <v>144</v>
      </c>
      <c r="I363" s="3">
        <v>0</v>
      </c>
      <c r="J36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3" s="3" t="str">
        <f>RIGHT(Network_Connections[[#This Row],[port/protocol]],LEN(Network_Connections[[#This Row],[port/protocol]])-FIND("/",Network_Connections[[#This Row],[port/protocol]]))</f>
        <v>0-65535</v>
      </c>
      <c r="L363" s="3">
        <f t="shared" si="6"/>
        <v>0</v>
      </c>
      <c r="R363" t="s">
        <v>173</v>
      </c>
    </row>
    <row r="364" spans="1:18" x14ac:dyDescent="0.2">
      <c r="A364" s="3" t="s">
        <v>155</v>
      </c>
      <c r="B364" s="3" t="str">
        <f xml:space="preserve"> SUBSTITUTE(RIGHT(SUBSTITUTE(Network_Connections[[#This Row],[from]],"_",REPT("*",10)),10),"*","")</f>
        <v>SW2</v>
      </c>
      <c r="C364" s="3" t="str">
        <f>INDEX(Assets[Asset_ID],MATCH(Network_Connections[[#This Row],[From1]],Assets[name],0))</f>
        <v>A00016</v>
      </c>
      <c r="D364" s="3" t="s">
        <v>170</v>
      </c>
      <c r="E364" s="3" t="str">
        <f xml:space="preserve"> SUBSTITUTE(RIGHT(SUBSTITUTE(Network_Connections[[#This Row],[to]],"_",REPT("*",10)),10),"*","")</f>
        <v>VPNSRV</v>
      </c>
      <c r="F364" s="3" t="str">
        <f>INDEX(Assets[Asset_ID],MATCH(Network_Connections[[#This Row],[From2]],Assets[name],0))</f>
        <v>A00002</v>
      </c>
      <c r="G364" s="3" t="s">
        <v>145</v>
      </c>
      <c r="H364" s="3" t="s">
        <v>144</v>
      </c>
      <c r="I364" s="3">
        <v>0</v>
      </c>
      <c r="J36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4" s="3" t="str">
        <f>RIGHT(Network_Connections[[#This Row],[port/protocol]],LEN(Network_Connections[[#This Row],[port/protocol]])-FIND("/",Network_Connections[[#This Row],[port/protocol]]))</f>
        <v>0-65535</v>
      </c>
      <c r="L364" s="3">
        <f t="shared" si="6"/>
        <v>0</v>
      </c>
    </row>
    <row r="365" spans="1:18" x14ac:dyDescent="0.2">
      <c r="A365" s="3" t="s">
        <v>155</v>
      </c>
      <c r="B365" s="3" t="str">
        <f xml:space="preserve"> SUBSTITUTE(RIGHT(SUBSTITUTE(Network_Connections[[#This Row],[from]],"_",REPT("*",10)),10),"*","")</f>
        <v>SW2</v>
      </c>
      <c r="C365" s="3" t="str">
        <f>INDEX(Assets[Asset_ID],MATCH(Network_Connections[[#This Row],[From1]],Assets[name],0))</f>
        <v>A00016</v>
      </c>
      <c r="D365" s="3" t="s">
        <v>169</v>
      </c>
      <c r="E365" s="3" t="str">
        <f xml:space="preserve"> SUBSTITUTE(RIGHT(SUBSTITUTE(Network_Connections[[#This Row],[to]],"_",REPT("*",10)),10),"*","")</f>
        <v>WebSRV1</v>
      </c>
      <c r="F365" s="3" t="str">
        <f>INDEX(Assets[Asset_ID],MATCH(Network_Connections[[#This Row],[From2]],Assets[name],0))</f>
        <v>A00003</v>
      </c>
      <c r="G365" s="3" t="s">
        <v>145</v>
      </c>
      <c r="H365" s="3" t="s">
        <v>144</v>
      </c>
      <c r="I365" s="3">
        <v>0</v>
      </c>
      <c r="J36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5" s="3" t="str">
        <f>RIGHT(Network_Connections[[#This Row],[port/protocol]],LEN(Network_Connections[[#This Row],[port/protocol]])-FIND("/",Network_Connections[[#This Row],[port/protocol]]))</f>
        <v>0-65535</v>
      </c>
      <c r="L365" s="3">
        <f t="shared" si="6"/>
        <v>0</v>
      </c>
    </row>
    <row r="366" spans="1:18" x14ac:dyDescent="0.2">
      <c r="A366" s="3" t="s">
        <v>155</v>
      </c>
      <c r="B366" s="3" t="str">
        <f xml:space="preserve"> SUBSTITUTE(RIGHT(SUBSTITUTE(Network_Connections[[#This Row],[from]],"_",REPT("*",10)),10),"*","")</f>
        <v>SW2</v>
      </c>
      <c r="C366" s="3" t="str">
        <f>INDEX(Assets[Asset_ID],MATCH(Network_Connections[[#This Row],[From1]],Assets[name],0))</f>
        <v>A00016</v>
      </c>
      <c r="D366" s="3" t="s">
        <v>168</v>
      </c>
      <c r="E366" s="3" t="str">
        <f xml:space="preserve"> SUBSTITUTE(RIGHT(SUBSTITUTE(Network_Connections[[#This Row],[to]],"_",REPT("*",10)),10),"*","")</f>
        <v>WebSRV2</v>
      </c>
      <c r="F366" s="3" t="str">
        <f>INDEX(Assets[Asset_ID],MATCH(Network_Connections[[#This Row],[From2]],Assets[name],0))</f>
        <v>A00004</v>
      </c>
      <c r="G366" s="3" t="s">
        <v>145</v>
      </c>
      <c r="H366" s="3" t="s">
        <v>144</v>
      </c>
      <c r="I366" s="3">
        <v>0</v>
      </c>
      <c r="J36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6" s="3" t="str">
        <f>RIGHT(Network_Connections[[#This Row],[port/protocol]],LEN(Network_Connections[[#This Row],[port/protocol]])-FIND("/",Network_Connections[[#This Row],[port/protocol]]))</f>
        <v>0-65535</v>
      </c>
      <c r="L366" s="3">
        <f t="shared" si="6"/>
        <v>0</v>
      </c>
    </row>
    <row r="367" spans="1:18" x14ac:dyDescent="0.2">
      <c r="A367" s="3" t="s">
        <v>155</v>
      </c>
      <c r="B367" s="3" t="str">
        <f xml:space="preserve"> SUBSTITUTE(RIGHT(SUBSTITUTE(Network_Connections[[#This Row],[from]],"_",REPT("*",10)),10),"*","")</f>
        <v>SW2</v>
      </c>
      <c r="C367" s="3" t="str">
        <f>INDEX(Assets[Asset_ID],MATCH(Network_Connections[[#This Row],[From1]],Assets[name],0))</f>
        <v>A00016</v>
      </c>
      <c r="D367" s="3" t="s">
        <v>166</v>
      </c>
      <c r="E367" s="3" t="str">
        <f xml:space="preserve"> SUBSTITUTE(RIGHT(SUBSTITUTE(Network_Connections[[#This Row],[to]],"_",REPT("*",10)),10),"*","")</f>
        <v>FW2</v>
      </c>
      <c r="F367" s="3" t="str">
        <f>INDEX(Assets[Asset_ID],MATCH(Network_Connections[[#This Row],[From2]],Assets[name],0))</f>
        <v>A00005</v>
      </c>
      <c r="G367" s="3" t="s">
        <v>145</v>
      </c>
      <c r="H367" s="3" t="s">
        <v>144</v>
      </c>
      <c r="I367" s="3">
        <v>0</v>
      </c>
      <c r="J36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7" s="3" t="str">
        <f>RIGHT(Network_Connections[[#This Row],[port/protocol]],LEN(Network_Connections[[#This Row],[port/protocol]])-FIND("/",Network_Connections[[#This Row],[port/protocol]]))</f>
        <v>0-65535</v>
      </c>
      <c r="L367" s="3">
        <f t="shared" si="6"/>
        <v>0</v>
      </c>
    </row>
    <row r="368" spans="1:18" x14ac:dyDescent="0.2">
      <c r="A368" s="3" t="s">
        <v>155</v>
      </c>
      <c r="B368" s="3" t="str">
        <f xml:space="preserve"> SUBSTITUTE(RIGHT(SUBSTITUTE(Network_Connections[[#This Row],[from]],"_",REPT("*",10)),10),"*","")</f>
        <v>SW2</v>
      </c>
      <c r="C368" s="3" t="str">
        <f>INDEX(Assets[Asset_ID],MATCH(Network_Connections[[#This Row],[From1]],Assets[name],0))</f>
        <v>A00016</v>
      </c>
      <c r="D368" s="3" t="s">
        <v>165</v>
      </c>
      <c r="E368" s="3" t="str">
        <f xml:space="preserve"> SUBSTITUTE(RIGHT(SUBSTITUTE(Network_Connections[[#This Row],[to]],"_",REPT("*",10)),10),"*","")</f>
        <v>SW1</v>
      </c>
      <c r="F368" s="3" t="str">
        <f>INDEX(Assets[Asset_ID],MATCH(Network_Connections[[#This Row],[From2]],Assets[name],0))</f>
        <v>A00006</v>
      </c>
      <c r="G368" s="3" t="s">
        <v>145</v>
      </c>
      <c r="H368" s="3" t="s">
        <v>144</v>
      </c>
      <c r="I368" s="3">
        <v>0</v>
      </c>
      <c r="J36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8" s="3" t="str">
        <f>RIGHT(Network_Connections[[#This Row],[port/protocol]],LEN(Network_Connections[[#This Row],[port/protocol]])-FIND("/",Network_Connections[[#This Row],[port/protocol]]))</f>
        <v>0-65535</v>
      </c>
      <c r="L368" s="3">
        <f t="shared" si="6"/>
        <v>0</v>
      </c>
    </row>
    <row r="369" spans="1:12" x14ac:dyDescent="0.2">
      <c r="A369" s="3" t="s">
        <v>155</v>
      </c>
      <c r="B369" s="3" t="str">
        <f xml:space="preserve"> SUBSTITUTE(RIGHT(SUBSTITUTE(Network_Connections[[#This Row],[from]],"_",REPT("*",10)),10),"*","")</f>
        <v>SW2</v>
      </c>
      <c r="C369" s="3" t="str">
        <f>INDEX(Assets[Asset_ID],MATCH(Network_Connections[[#This Row],[From1]],Assets[name],0))</f>
        <v>A00016</v>
      </c>
      <c r="D369" s="3" t="s">
        <v>164</v>
      </c>
      <c r="E369" s="3" t="str">
        <f xml:space="preserve"> SUBSTITUTE(RIGHT(SUBSTITUTE(Network_Connections[[#This Row],[to]],"_",REPT("*",10)),10),"*","")</f>
        <v>AD</v>
      </c>
      <c r="F369" s="3" t="str">
        <f>INDEX(Assets[Asset_ID],MATCH(Network_Connections[[#This Row],[From2]],Assets[name],0))</f>
        <v>A00007</v>
      </c>
      <c r="G369" s="3" t="s">
        <v>145</v>
      </c>
      <c r="H369" s="3" t="s">
        <v>144</v>
      </c>
      <c r="I369" s="3">
        <v>0</v>
      </c>
      <c r="J36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69" s="3" t="str">
        <f>RIGHT(Network_Connections[[#This Row],[port/protocol]],LEN(Network_Connections[[#This Row],[port/protocol]])-FIND("/",Network_Connections[[#This Row],[port/protocol]]))</f>
        <v>0-65535</v>
      </c>
      <c r="L369" s="3">
        <f t="shared" si="6"/>
        <v>0</v>
      </c>
    </row>
    <row r="370" spans="1:12" x14ac:dyDescent="0.2">
      <c r="A370" s="3" t="s">
        <v>155</v>
      </c>
      <c r="B370" s="3" t="str">
        <f xml:space="preserve"> SUBSTITUTE(RIGHT(SUBSTITUTE(Network_Connections[[#This Row],[from]],"_",REPT("*",10)),10),"*","")</f>
        <v>SW2</v>
      </c>
      <c r="C370" s="3" t="str">
        <f>INDEX(Assets[Asset_ID],MATCH(Network_Connections[[#This Row],[From1]],Assets[name],0))</f>
        <v>A00016</v>
      </c>
      <c r="D370" s="3" t="s">
        <v>163</v>
      </c>
      <c r="E370" s="3" t="str">
        <f xml:space="preserve"> SUBSTITUTE(RIGHT(SUBSTITUTE(Network_Connections[[#This Row],[to]],"_",REPT("*",10)),10),"*","")</f>
        <v>ERP</v>
      </c>
      <c r="F370" s="3" t="str">
        <f>INDEX(Assets[Asset_ID],MATCH(Network_Connections[[#This Row],[From2]],Assets[name],0))</f>
        <v>A00008</v>
      </c>
      <c r="G370" s="3" t="s">
        <v>145</v>
      </c>
      <c r="H370" s="3" t="s">
        <v>144</v>
      </c>
      <c r="I370" s="3">
        <v>0</v>
      </c>
      <c r="J37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0" s="3" t="str">
        <f>RIGHT(Network_Connections[[#This Row],[port/protocol]],LEN(Network_Connections[[#This Row],[port/protocol]])-FIND("/",Network_Connections[[#This Row],[port/protocol]]))</f>
        <v>0-65535</v>
      </c>
      <c r="L370" s="3">
        <f t="shared" si="6"/>
        <v>0</v>
      </c>
    </row>
    <row r="371" spans="1:12" x14ac:dyDescent="0.2">
      <c r="A371" s="3" t="s">
        <v>155</v>
      </c>
      <c r="B371" s="3" t="str">
        <f xml:space="preserve"> SUBSTITUTE(RIGHT(SUBSTITUTE(Network_Connections[[#This Row],[from]],"_",REPT("*",10)),10),"*","")</f>
        <v>SW2</v>
      </c>
      <c r="C371" s="3" t="str">
        <f>INDEX(Assets[Asset_ID],MATCH(Network_Connections[[#This Row],[From1]],Assets[name],0))</f>
        <v>A00016</v>
      </c>
      <c r="D371" s="3" t="s">
        <v>162</v>
      </c>
      <c r="E371" s="3" t="str">
        <f xml:space="preserve"> SUBSTITUTE(RIGHT(SUBSTITUTE(Network_Connections[[#This Row],[to]],"_",REPT("*",10)),10),"*","")</f>
        <v>Banking</v>
      </c>
      <c r="F371" s="3" t="str">
        <f>INDEX(Assets[Asset_ID],MATCH(Network_Connections[[#This Row],[From2]],Assets[name],0))</f>
        <v>A00009</v>
      </c>
      <c r="G371" s="3" t="s">
        <v>145</v>
      </c>
      <c r="H371" s="3" t="s">
        <v>144</v>
      </c>
      <c r="I371" s="3">
        <v>0</v>
      </c>
      <c r="J37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1" s="3" t="str">
        <f>RIGHT(Network_Connections[[#This Row],[port/protocol]],LEN(Network_Connections[[#This Row],[port/protocol]])-FIND("/",Network_Connections[[#This Row],[port/protocol]]))</f>
        <v>0-65535</v>
      </c>
      <c r="L371" s="3">
        <f t="shared" si="6"/>
        <v>0</v>
      </c>
    </row>
    <row r="372" spans="1:12" x14ac:dyDescent="0.2">
      <c r="A372" s="3" t="s">
        <v>155</v>
      </c>
      <c r="B372" s="3" t="str">
        <f xml:space="preserve"> SUBSTITUTE(RIGHT(SUBSTITUTE(Network_Connections[[#This Row],[from]],"_",REPT("*",10)),10),"*","")</f>
        <v>SW2</v>
      </c>
      <c r="C372" s="3" t="str">
        <f>INDEX(Assets[Asset_ID],MATCH(Network_Connections[[#This Row],[From1]],Assets[name],0))</f>
        <v>A00016</v>
      </c>
      <c r="D372" s="3" t="s">
        <v>161</v>
      </c>
      <c r="E372" s="3" t="str">
        <f xml:space="preserve"> SUBSTITUTE(RIGHT(SUBSTITUTE(Network_Connections[[#This Row],[to]],"_",REPT("*",10)),10),"*","")</f>
        <v>Email</v>
      </c>
      <c r="F372" s="3" t="str">
        <f>INDEX(Assets[Asset_ID],MATCH(Network_Connections[[#This Row],[From2]],Assets[name],0))</f>
        <v>A00010</v>
      </c>
      <c r="G372" s="3" t="s">
        <v>145</v>
      </c>
      <c r="H372" s="3" t="s">
        <v>144</v>
      </c>
      <c r="I372" s="3">
        <v>0</v>
      </c>
      <c r="J37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2" s="3" t="str">
        <f>RIGHT(Network_Connections[[#This Row],[port/protocol]],LEN(Network_Connections[[#This Row],[port/protocol]])-FIND("/",Network_Connections[[#This Row],[port/protocol]]))</f>
        <v>0-65535</v>
      </c>
      <c r="L372" s="3">
        <f t="shared" si="6"/>
        <v>0</v>
      </c>
    </row>
    <row r="373" spans="1:12" x14ac:dyDescent="0.2">
      <c r="A373" s="3" t="s">
        <v>155</v>
      </c>
      <c r="B373" s="3" t="str">
        <f xml:space="preserve"> SUBSTITUTE(RIGHT(SUBSTITUTE(Network_Connections[[#This Row],[from]],"_",REPT("*",10)),10),"*","")</f>
        <v>SW2</v>
      </c>
      <c r="C373" s="3" t="str">
        <f>INDEX(Assets[Asset_ID],MATCH(Network_Connections[[#This Row],[From1]],Assets[name],0))</f>
        <v>A00016</v>
      </c>
      <c r="D373" s="3" t="s">
        <v>160</v>
      </c>
      <c r="E373" s="3" t="str">
        <f xml:space="preserve"> SUBSTITUTE(RIGHT(SUBSTITUTE(Network_Connections[[#This Row],[to]],"_",REPT("*",10)),10),"*","")</f>
        <v>WMS</v>
      </c>
      <c r="F373" s="3" t="str">
        <f>INDEX(Assets[Asset_ID],MATCH(Network_Connections[[#This Row],[From2]],Assets[name],0))</f>
        <v>A00011</v>
      </c>
      <c r="G373" s="3" t="s">
        <v>145</v>
      </c>
      <c r="H373" s="3" t="s">
        <v>144</v>
      </c>
      <c r="I373" s="3">
        <v>0</v>
      </c>
      <c r="J37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3" s="3" t="str">
        <f>RIGHT(Network_Connections[[#This Row],[port/protocol]],LEN(Network_Connections[[#This Row],[port/protocol]])-FIND("/",Network_Connections[[#This Row],[port/protocol]]))</f>
        <v>0-65535</v>
      </c>
      <c r="L373" s="3">
        <f t="shared" si="6"/>
        <v>0</v>
      </c>
    </row>
    <row r="374" spans="1:12" x14ac:dyDescent="0.2">
      <c r="A374" s="3" t="s">
        <v>155</v>
      </c>
      <c r="B374" s="3" t="str">
        <f xml:space="preserve"> SUBSTITUTE(RIGHT(SUBSTITUTE(Network_Connections[[#This Row],[from]],"_",REPT("*",10)),10),"*","")</f>
        <v>SW2</v>
      </c>
      <c r="C374" s="3" t="str">
        <f>INDEX(Assets[Asset_ID],MATCH(Network_Connections[[#This Row],[From1]],Assets[name],0))</f>
        <v>A00016</v>
      </c>
      <c r="D374" s="3" t="s">
        <v>159</v>
      </c>
      <c r="E374" s="3" t="str">
        <f xml:space="preserve"> SUBSTITUTE(RIGHT(SUBSTITUTE(Network_Connections[[#This Row],[to]],"_",REPT("*",10)),10),"*","")</f>
        <v>CRM</v>
      </c>
      <c r="F374" s="3" t="str">
        <f>INDEX(Assets[Asset_ID],MATCH(Network_Connections[[#This Row],[From2]],Assets[name],0))</f>
        <v>A00012</v>
      </c>
      <c r="G374" s="3" t="s">
        <v>145</v>
      </c>
      <c r="H374" s="3" t="s">
        <v>144</v>
      </c>
      <c r="I374" s="3">
        <v>0</v>
      </c>
      <c r="J37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4" s="3" t="str">
        <f>RIGHT(Network_Connections[[#This Row],[port/protocol]],LEN(Network_Connections[[#This Row],[port/protocol]])-FIND("/",Network_Connections[[#This Row],[port/protocol]]))</f>
        <v>0-65535</v>
      </c>
      <c r="L374" s="3">
        <f t="shared" si="6"/>
        <v>0</v>
      </c>
    </row>
    <row r="375" spans="1:12" x14ac:dyDescent="0.2">
      <c r="A375" s="3" t="s">
        <v>155</v>
      </c>
      <c r="B375" s="3" t="str">
        <f xml:space="preserve"> SUBSTITUTE(RIGHT(SUBSTITUTE(Network_Connections[[#This Row],[from]],"_",REPT("*",10)),10),"*","")</f>
        <v>SW2</v>
      </c>
      <c r="C375" s="3" t="str">
        <f>INDEX(Assets[Asset_ID],MATCH(Network_Connections[[#This Row],[From1]],Assets[name],0))</f>
        <v>A00016</v>
      </c>
      <c r="D375" s="3" t="s">
        <v>158</v>
      </c>
      <c r="E375" s="3" t="str">
        <f xml:space="preserve"> SUBSTITUTE(RIGHT(SUBSTITUTE(Network_Connections[[#This Row],[to]],"_",REPT("*",10)),10),"*","")</f>
        <v>WIFI1</v>
      </c>
      <c r="F375" s="3" t="str">
        <f>INDEX(Assets[Asset_ID],MATCH(Network_Connections[[#This Row],[From2]],Assets[name],0))</f>
        <v>A00013</v>
      </c>
      <c r="G375" s="3" t="s">
        <v>145</v>
      </c>
      <c r="H375" s="3" t="s">
        <v>144</v>
      </c>
      <c r="I375" s="3">
        <v>0</v>
      </c>
      <c r="J37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5" s="3" t="str">
        <f>RIGHT(Network_Connections[[#This Row],[port/protocol]],LEN(Network_Connections[[#This Row],[port/protocol]])-FIND("/",Network_Connections[[#This Row],[port/protocol]]))</f>
        <v>0-65535</v>
      </c>
      <c r="L375" s="3">
        <f t="shared" si="6"/>
        <v>0</v>
      </c>
    </row>
    <row r="376" spans="1:12" x14ac:dyDescent="0.2">
      <c r="A376" s="3" t="s">
        <v>155</v>
      </c>
      <c r="B376" s="3" t="str">
        <f xml:space="preserve"> SUBSTITUTE(RIGHT(SUBSTITUTE(Network_Connections[[#This Row],[from]],"_",REPT("*",10)),10),"*","")</f>
        <v>SW2</v>
      </c>
      <c r="C376" s="3" t="str">
        <f>INDEX(Assets[Asset_ID],MATCH(Network_Connections[[#This Row],[From1]],Assets[name],0))</f>
        <v>A00016</v>
      </c>
      <c r="D376" s="3" t="s">
        <v>157</v>
      </c>
      <c r="E376" s="3" t="str">
        <f xml:space="preserve"> SUBSTITUTE(RIGHT(SUBSTITUTE(Network_Connections[[#This Row],[to]],"_",REPT("*",10)),10),"*","")</f>
        <v>WS1</v>
      </c>
      <c r="F376" s="3" t="str">
        <f>INDEX(Assets[Asset_ID],MATCH(Network_Connections[[#This Row],[From2]],Assets[name],0))</f>
        <v>A00014</v>
      </c>
      <c r="G376" s="3" t="s">
        <v>145</v>
      </c>
      <c r="H376" s="3" t="s">
        <v>144</v>
      </c>
      <c r="I376" s="3">
        <v>0</v>
      </c>
      <c r="J37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6" s="3" t="str">
        <f>RIGHT(Network_Connections[[#This Row],[port/protocol]],LEN(Network_Connections[[#This Row],[port/protocol]])-FIND("/",Network_Connections[[#This Row],[port/protocol]]))</f>
        <v>0-65535</v>
      </c>
      <c r="L376" s="3">
        <f t="shared" si="6"/>
        <v>0</v>
      </c>
    </row>
    <row r="377" spans="1:12" x14ac:dyDescent="0.2">
      <c r="A377" s="3" t="s">
        <v>155</v>
      </c>
      <c r="B377" s="3" t="str">
        <f xml:space="preserve"> SUBSTITUTE(RIGHT(SUBSTITUTE(Network_Connections[[#This Row],[from]],"_",REPT("*",10)),10),"*","")</f>
        <v>SW2</v>
      </c>
      <c r="C377" s="3" t="str">
        <f>INDEX(Assets[Asset_ID],MATCH(Network_Connections[[#This Row],[From1]],Assets[name],0))</f>
        <v>A00016</v>
      </c>
      <c r="D377" s="3" t="s">
        <v>156</v>
      </c>
      <c r="E377" s="3" t="str">
        <f xml:space="preserve"> SUBSTITUTE(RIGHT(SUBSTITUTE(Network_Connections[[#This Row],[to]],"_",REPT("*",10)),10),"*","")</f>
        <v>FW3</v>
      </c>
      <c r="F377" s="3" t="str">
        <f>INDEX(Assets[Asset_ID],MATCH(Network_Connections[[#This Row],[From2]],Assets[name],0))</f>
        <v>A00015</v>
      </c>
      <c r="G377" s="3" t="s">
        <v>145</v>
      </c>
      <c r="H377" s="3" t="s">
        <v>144</v>
      </c>
      <c r="I377" s="3">
        <v>1</v>
      </c>
      <c r="J37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"A00016"-&gt;"A00015"@00:("IP", "0-65535");</v>
      </c>
      <c r="K377" s="3" t="str">
        <f>RIGHT(Network_Connections[[#This Row],[port/protocol]],LEN(Network_Connections[[#This Row],[port/protocol]])-FIND("/",Network_Connections[[#This Row],[port/protocol]]))</f>
        <v>0-65535</v>
      </c>
      <c r="L377" s="3">
        <f t="shared" si="6"/>
        <v>0</v>
      </c>
    </row>
    <row r="378" spans="1:12" x14ac:dyDescent="0.2">
      <c r="A378" s="3" t="s">
        <v>155</v>
      </c>
      <c r="B378" s="3" t="str">
        <f xml:space="preserve"> SUBSTITUTE(RIGHT(SUBSTITUTE(Network_Connections[[#This Row],[from]],"_",REPT("*",10)),10),"*","")</f>
        <v>SW2</v>
      </c>
      <c r="C378" s="3" t="str">
        <f>INDEX(Assets[Asset_ID],MATCH(Network_Connections[[#This Row],[From1]],Assets[name],0))</f>
        <v>A00016</v>
      </c>
      <c r="D378" s="3" t="s">
        <v>154</v>
      </c>
      <c r="E378" s="3" t="str">
        <f xml:space="preserve"> SUBSTITUTE(RIGHT(SUBSTITUTE(Network_Connections[[#This Row],[to]],"_",REPT("*",10)),10),"*","")</f>
        <v>WS2</v>
      </c>
      <c r="F378" s="3" t="str">
        <f>INDEX(Assets[Asset_ID],MATCH(Network_Connections[[#This Row],[From2]],Assets[name],0))</f>
        <v>A00017</v>
      </c>
      <c r="G378" s="3" t="s">
        <v>145</v>
      </c>
      <c r="H378" s="3" t="s">
        <v>144</v>
      </c>
      <c r="I378" s="3">
        <v>0</v>
      </c>
      <c r="J37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8" s="3" t="str">
        <f>RIGHT(Network_Connections[[#This Row],[port/protocol]],LEN(Network_Connections[[#This Row],[port/protocol]])-FIND("/",Network_Connections[[#This Row],[port/protocol]]))</f>
        <v>0-65535</v>
      </c>
      <c r="L378" s="3">
        <f t="shared" si="6"/>
        <v>0</v>
      </c>
    </row>
    <row r="379" spans="1:12" x14ac:dyDescent="0.2">
      <c r="A379" s="3" t="s">
        <v>155</v>
      </c>
      <c r="B379" s="3" t="str">
        <f xml:space="preserve"> SUBSTITUTE(RIGHT(SUBSTITUTE(Network_Connections[[#This Row],[from]],"_",REPT("*",10)),10),"*","")</f>
        <v>SW2</v>
      </c>
      <c r="C379" s="3" t="str">
        <f>INDEX(Assets[Asset_ID],MATCH(Network_Connections[[#This Row],[From1]],Assets[name],0))</f>
        <v>A00016</v>
      </c>
      <c r="D379" s="3" t="s">
        <v>153</v>
      </c>
      <c r="E379" s="3" t="str">
        <f xml:space="preserve"> SUBSTITUTE(RIGHT(SUBSTITUTE(Network_Connections[[#This Row],[to]],"_",REPT("*",10)),10),"*","")</f>
        <v>WS3</v>
      </c>
      <c r="F379" s="3" t="str">
        <f>INDEX(Assets[Asset_ID],MATCH(Network_Connections[[#This Row],[From2]],Assets[name],0))</f>
        <v>A00018</v>
      </c>
      <c r="G379" s="3" t="s">
        <v>145</v>
      </c>
      <c r="H379" s="3" t="s">
        <v>144</v>
      </c>
      <c r="I379" s="3">
        <v>0</v>
      </c>
      <c r="J37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79" s="3" t="str">
        <f>RIGHT(Network_Connections[[#This Row],[port/protocol]],LEN(Network_Connections[[#This Row],[port/protocol]])-FIND("/",Network_Connections[[#This Row],[port/protocol]]))</f>
        <v>0-65535</v>
      </c>
      <c r="L379" s="3">
        <f t="shared" si="6"/>
        <v>0</v>
      </c>
    </row>
    <row r="380" spans="1:12" x14ac:dyDescent="0.2">
      <c r="A380" s="3" t="s">
        <v>155</v>
      </c>
      <c r="B380" s="3" t="str">
        <f xml:space="preserve"> SUBSTITUTE(RIGHT(SUBSTITUTE(Network_Connections[[#This Row],[from]],"_",REPT("*",10)),10),"*","")</f>
        <v>SW2</v>
      </c>
      <c r="C380" s="3" t="str">
        <f>INDEX(Assets[Asset_ID],MATCH(Network_Connections[[#This Row],[From1]],Assets[name],0))</f>
        <v>A00016</v>
      </c>
      <c r="D380" s="3" t="s">
        <v>152</v>
      </c>
      <c r="E380" s="3" t="str">
        <f xml:space="preserve"> SUBSTITUTE(RIGHT(SUBSTITUTE(Network_Connections[[#This Row],[to]],"_",REPT("*",10)),10),"*","")</f>
        <v>WS4</v>
      </c>
      <c r="F380" s="3" t="str">
        <f>INDEX(Assets[Asset_ID],MATCH(Network_Connections[[#This Row],[From2]],Assets[name],0))</f>
        <v>A00019</v>
      </c>
      <c r="G380" s="3" t="s">
        <v>145</v>
      </c>
      <c r="H380" s="3" t="s">
        <v>144</v>
      </c>
      <c r="I380" s="3">
        <v>0</v>
      </c>
      <c r="J38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0" s="3" t="str">
        <f>RIGHT(Network_Connections[[#This Row],[port/protocol]],LEN(Network_Connections[[#This Row],[port/protocol]])-FIND("/",Network_Connections[[#This Row],[port/protocol]]))</f>
        <v>0-65535</v>
      </c>
      <c r="L380" s="3">
        <f t="shared" si="6"/>
        <v>0</v>
      </c>
    </row>
    <row r="381" spans="1:12" x14ac:dyDescent="0.2">
      <c r="A381" s="3" t="s">
        <v>155</v>
      </c>
      <c r="B381" s="3" t="str">
        <f xml:space="preserve"> SUBSTITUTE(RIGHT(SUBSTITUTE(Network_Connections[[#This Row],[from]],"_",REPT("*",10)),10),"*","")</f>
        <v>SW2</v>
      </c>
      <c r="C381" s="3" t="str">
        <f>INDEX(Assets[Asset_ID],MATCH(Network_Connections[[#This Row],[From1]],Assets[name],0))</f>
        <v>A00016</v>
      </c>
      <c r="D381" s="3" t="s">
        <v>151</v>
      </c>
      <c r="E381" s="3" t="str">
        <f xml:space="preserve"> SUBSTITUTE(RIGHT(SUBSTITUTE(Network_Connections[[#This Row],[to]],"_",REPT("*",10)),10),"*","")</f>
        <v>FW4</v>
      </c>
      <c r="F381" s="3" t="str">
        <f>INDEX(Assets[Asset_ID],MATCH(Network_Connections[[#This Row],[From2]],Assets[name],0))</f>
        <v>A00020</v>
      </c>
      <c r="G381" s="3" t="s">
        <v>145</v>
      </c>
      <c r="H381" s="3" t="s">
        <v>144</v>
      </c>
      <c r="I381" s="3">
        <v>0</v>
      </c>
      <c r="J38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1" s="3" t="str">
        <f>RIGHT(Network_Connections[[#This Row],[port/protocol]],LEN(Network_Connections[[#This Row],[port/protocol]])-FIND("/",Network_Connections[[#This Row],[port/protocol]]))</f>
        <v>0-65535</v>
      </c>
      <c r="L381" s="3">
        <f t="shared" si="6"/>
        <v>0</v>
      </c>
    </row>
    <row r="382" spans="1:12" x14ac:dyDescent="0.2">
      <c r="A382" s="3" t="s">
        <v>155</v>
      </c>
      <c r="B382" s="3" t="str">
        <f xml:space="preserve"> SUBSTITUTE(RIGHT(SUBSTITUTE(Network_Connections[[#This Row],[from]],"_",REPT("*",10)),10),"*","")</f>
        <v>SW2</v>
      </c>
      <c r="C382" s="3" t="str">
        <f>INDEX(Assets[Asset_ID],MATCH(Network_Connections[[#This Row],[From1]],Assets[name],0))</f>
        <v>A00016</v>
      </c>
      <c r="D382" s="3" t="s">
        <v>150</v>
      </c>
      <c r="E382" s="3" t="str">
        <f xml:space="preserve"> SUBSTITUTE(RIGHT(SUBSTITUTE(Network_Connections[[#This Row],[to]],"_",REPT("*",10)),10),"*","")</f>
        <v>WIFI2</v>
      </c>
      <c r="F382" s="3" t="str">
        <f>INDEX(Assets[Asset_ID],MATCH(Network_Connections[[#This Row],[From2]],Assets[name],0))</f>
        <v>A00021</v>
      </c>
      <c r="G382" s="3" t="s">
        <v>145</v>
      </c>
      <c r="H382" s="3" t="s">
        <v>144</v>
      </c>
      <c r="I382" s="3">
        <v>0</v>
      </c>
      <c r="J38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2" s="3" t="str">
        <f>RIGHT(Network_Connections[[#This Row],[port/protocol]],LEN(Network_Connections[[#This Row],[port/protocol]])-FIND("/",Network_Connections[[#This Row],[port/protocol]]))</f>
        <v>0-65535</v>
      </c>
      <c r="L382" s="3">
        <f t="shared" si="6"/>
        <v>0</v>
      </c>
    </row>
    <row r="383" spans="1:12" x14ac:dyDescent="0.2">
      <c r="A383" s="3" t="s">
        <v>155</v>
      </c>
      <c r="B383" s="3" t="str">
        <f xml:space="preserve"> SUBSTITUTE(RIGHT(SUBSTITUTE(Network_Connections[[#This Row],[from]],"_",REPT("*",10)),10),"*","")</f>
        <v>SW2</v>
      </c>
      <c r="C383" s="3" t="str">
        <f>INDEX(Assets[Asset_ID],MATCH(Network_Connections[[#This Row],[From1]],Assets[name],0))</f>
        <v>A00016</v>
      </c>
      <c r="D383" s="3" t="s">
        <v>149</v>
      </c>
      <c r="E383" s="3" t="str">
        <f xml:space="preserve"> SUBSTITUTE(RIGHT(SUBSTITUTE(Network_Connections[[#This Row],[to]],"_",REPT("*",10)),10),"*","")</f>
        <v>WS5</v>
      </c>
      <c r="F383" s="3" t="str">
        <f>INDEX(Assets[Asset_ID],MATCH(Network_Connections[[#This Row],[From2]],Assets[name],0))</f>
        <v>A00022</v>
      </c>
      <c r="G383" s="3" t="s">
        <v>145</v>
      </c>
      <c r="H383" s="3" t="s">
        <v>144</v>
      </c>
      <c r="I383" s="3">
        <v>0</v>
      </c>
      <c r="J38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3" s="3" t="str">
        <f>RIGHT(Network_Connections[[#This Row],[port/protocol]],LEN(Network_Connections[[#This Row],[port/protocol]])-FIND("/",Network_Connections[[#This Row],[port/protocol]]))</f>
        <v>0-65535</v>
      </c>
      <c r="L383" s="3">
        <f t="shared" si="6"/>
        <v>0</v>
      </c>
    </row>
    <row r="384" spans="1:12" x14ac:dyDescent="0.2">
      <c r="A384" s="3" t="s">
        <v>155</v>
      </c>
      <c r="B384" s="3" t="str">
        <f xml:space="preserve"> SUBSTITUTE(RIGHT(SUBSTITUTE(Network_Connections[[#This Row],[from]],"_",REPT("*",10)),10),"*","")</f>
        <v>SW2</v>
      </c>
      <c r="C384" s="3" t="str">
        <f>INDEX(Assets[Asset_ID],MATCH(Network_Connections[[#This Row],[From1]],Assets[name],0))</f>
        <v>A00016</v>
      </c>
      <c r="D384" s="3" t="s">
        <v>148</v>
      </c>
      <c r="E384" s="3" t="str">
        <f xml:space="preserve"> SUBSTITUTE(RIGHT(SUBSTITUTE(Network_Connections[[#This Row],[to]],"_",REPT("*",10)),10),"*","")</f>
        <v>WS6</v>
      </c>
      <c r="F384" s="3" t="str">
        <f>INDEX(Assets[Asset_ID],MATCH(Network_Connections[[#This Row],[From2]],Assets[name],0))</f>
        <v>A00023</v>
      </c>
      <c r="G384" s="3" t="s">
        <v>145</v>
      </c>
      <c r="H384" s="3" t="s">
        <v>144</v>
      </c>
      <c r="I384" s="3">
        <v>0</v>
      </c>
      <c r="J38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4" s="3" t="str">
        <f>RIGHT(Network_Connections[[#This Row],[port/protocol]],LEN(Network_Connections[[#This Row],[port/protocol]])-FIND("/",Network_Connections[[#This Row],[port/protocol]]))</f>
        <v>0-65535</v>
      </c>
      <c r="L384" s="3">
        <f t="shared" si="6"/>
        <v>0</v>
      </c>
    </row>
    <row r="385" spans="1:12" x14ac:dyDescent="0.2">
      <c r="A385" s="3" t="s">
        <v>155</v>
      </c>
      <c r="B385" s="3" t="str">
        <f xml:space="preserve"> SUBSTITUTE(RIGHT(SUBSTITUTE(Network_Connections[[#This Row],[from]],"_",REPT("*",10)),10),"*","")</f>
        <v>SW2</v>
      </c>
      <c r="C385" s="3" t="str">
        <f>INDEX(Assets[Asset_ID],MATCH(Network_Connections[[#This Row],[From1]],Assets[name],0))</f>
        <v>A00016</v>
      </c>
      <c r="D385" s="3" t="s">
        <v>146</v>
      </c>
      <c r="E385" s="3" t="str">
        <f xml:space="preserve"> SUBSTITUTE(RIGHT(SUBSTITUTE(Network_Connections[[#This Row],[to]],"_",REPT("*",10)),10),"*","")</f>
        <v>WS7</v>
      </c>
      <c r="F385" s="3" t="str">
        <f>INDEX(Assets[Asset_ID],MATCH(Network_Connections[[#This Row],[From2]],Assets[name],0))</f>
        <v>A00024</v>
      </c>
      <c r="G385" s="3" t="s">
        <v>145</v>
      </c>
      <c r="H385" s="3" t="s">
        <v>144</v>
      </c>
      <c r="I385" s="3">
        <v>0</v>
      </c>
      <c r="J38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5" s="3" t="str">
        <f>RIGHT(Network_Connections[[#This Row],[port/protocol]],LEN(Network_Connections[[#This Row],[port/protocol]])-FIND("/",Network_Connections[[#This Row],[port/protocol]]))</f>
        <v>0-65535</v>
      </c>
      <c r="L385" s="3">
        <f t="shared" si="6"/>
        <v>0</v>
      </c>
    </row>
    <row r="386" spans="1:12" x14ac:dyDescent="0.2">
      <c r="A386" s="3" t="s">
        <v>155</v>
      </c>
      <c r="B386" s="3" t="str">
        <f xml:space="preserve"> SUBSTITUTE(RIGHT(SUBSTITUTE(Network_Connections[[#This Row],[from]],"_",REPT("*",10)),10),"*","")</f>
        <v>SW2</v>
      </c>
      <c r="C386" s="3" t="str">
        <f>INDEX(Assets[Asset_ID],MATCH(Network_Connections[[#This Row],[From1]],Assets[name],0))</f>
        <v>A00016</v>
      </c>
      <c r="D386" s="3" t="s">
        <v>147</v>
      </c>
      <c r="E386" s="3" t="str">
        <f xml:space="preserve"> SUBSTITUTE(RIGHT(SUBSTITUTE(Network_Connections[[#This Row],[to]],"_",REPT("*",10)),10),"*","")</f>
        <v>WS8</v>
      </c>
      <c r="F386" s="3" t="str">
        <f>INDEX(Assets[Asset_ID],MATCH(Network_Connections[[#This Row],[From2]],Assets[name],0))</f>
        <v>A00025</v>
      </c>
      <c r="G386" s="3" t="s">
        <v>145</v>
      </c>
      <c r="H386" s="3" t="s">
        <v>144</v>
      </c>
      <c r="I386" s="3">
        <v>0</v>
      </c>
      <c r="J38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6" s="3" t="str">
        <f>RIGHT(Network_Connections[[#This Row],[port/protocol]],LEN(Network_Connections[[#This Row],[port/protocol]])-FIND("/",Network_Connections[[#This Row],[port/protocol]]))</f>
        <v>0-65535</v>
      </c>
      <c r="L386" s="3">
        <f t="shared" ref="L386:L449" si="7">IF(AND(C386=C385, F386=F385), L385+1, 0)</f>
        <v>0</v>
      </c>
    </row>
    <row r="387" spans="1:12" x14ac:dyDescent="0.2">
      <c r="A387" s="3" t="s">
        <v>154</v>
      </c>
      <c r="B387" s="3" t="str">
        <f xml:space="preserve"> SUBSTITUTE(RIGHT(SUBSTITUTE(Network_Connections[[#This Row],[from]],"_",REPT("*",10)),10),"*","")</f>
        <v>WS2</v>
      </c>
      <c r="C387" s="3" t="str">
        <f>INDEX(Assets[Asset_ID],MATCH(Network_Connections[[#This Row],[From1]],Assets[name],0))</f>
        <v>A00017</v>
      </c>
      <c r="D387" s="3" t="s">
        <v>171</v>
      </c>
      <c r="E387" s="3" t="str">
        <f xml:space="preserve"> SUBSTITUTE(RIGHT(SUBSTITUTE(Network_Connections[[#This Row],[to]],"_",REPT("*",10)),10),"*","")</f>
        <v>FW1</v>
      </c>
      <c r="F387" s="3" t="str">
        <f>INDEX(Assets[Asset_ID],MATCH(Network_Connections[[#This Row],[From2]],Assets[name],0))</f>
        <v>A00001</v>
      </c>
      <c r="G387" s="3" t="s">
        <v>145</v>
      </c>
      <c r="H387" s="3" t="s">
        <v>144</v>
      </c>
      <c r="I387" s="3">
        <v>0</v>
      </c>
      <c r="J38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7" s="3" t="str">
        <f>RIGHT(Network_Connections[[#This Row],[port/protocol]],LEN(Network_Connections[[#This Row],[port/protocol]])-FIND("/",Network_Connections[[#This Row],[port/protocol]]))</f>
        <v>0-65535</v>
      </c>
      <c r="L387" s="3">
        <f t="shared" si="7"/>
        <v>0</v>
      </c>
    </row>
    <row r="388" spans="1:12" x14ac:dyDescent="0.2">
      <c r="A388" s="3" t="s">
        <v>154</v>
      </c>
      <c r="B388" s="3" t="str">
        <f xml:space="preserve"> SUBSTITUTE(RIGHT(SUBSTITUTE(Network_Connections[[#This Row],[from]],"_",REPT("*",10)),10),"*","")</f>
        <v>WS2</v>
      </c>
      <c r="C388" s="3" t="str">
        <f>INDEX(Assets[Asset_ID],MATCH(Network_Connections[[#This Row],[From1]],Assets[name],0))</f>
        <v>A00017</v>
      </c>
      <c r="D388" s="3" t="s">
        <v>170</v>
      </c>
      <c r="E388" s="3" t="str">
        <f xml:space="preserve"> SUBSTITUTE(RIGHT(SUBSTITUTE(Network_Connections[[#This Row],[to]],"_",REPT("*",10)),10),"*","")</f>
        <v>VPNSRV</v>
      </c>
      <c r="F388" s="3" t="str">
        <f>INDEX(Assets[Asset_ID],MATCH(Network_Connections[[#This Row],[From2]],Assets[name],0))</f>
        <v>A00002</v>
      </c>
      <c r="G388" s="3" t="s">
        <v>145</v>
      </c>
      <c r="H388" s="3" t="s">
        <v>144</v>
      </c>
      <c r="I388" s="3">
        <v>0</v>
      </c>
      <c r="J38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88" s="3" t="str">
        <f>RIGHT(Network_Connections[[#This Row],[port/protocol]],LEN(Network_Connections[[#This Row],[port/protocol]])-FIND("/",Network_Connections[[#This Row],[port/protocol]]))</f>
        <v>0-65535</v>
      </c>
      <c r="L388" s="3">
        <f t="shared" si="7"/>
        <v>0</v>
      </c>
    </row>
    <row r="389" spans="1:12" x14ac:dyDescent="0.2">
      <c r="A389" s="3" t="s">
        <v>154</v>
      </c>
      <c r="B389" s="3" t="str">
        <f xml:space="preserve"> SUBSTITUTE(RIGHT(SUBSTITUTE(Network_Connections[[#This Row],[from]],"_",REPT("*",10)),10),"*","")</f>
        <v>WS2</v>
      </c>
      <c r="C389" s="3" t="str">
        <f>INDEX(Assets[Asset_ID],MATCH(Network_Connections[[#This Row],[From1]],Assets[name],0))</f>
        <v>A00017</v>
      </c>
      <c r="D389" s="3" t="s">
        <v>169</v>
      </c>
      <c r="E389" s="3" t="str">
        <f xml:space="preserve"> SUBSTITUTE(RIGHT(SUBSTITUTE(Network_Connections[[#This Row],[to]],"_",REPT("*",10)),10),"*","")</f>
        <v>WebSRV1</v>
      </c>
      <c r="F389" s="3" t="str">
        <f>INDEX(Assets[Asset_ID],MATCH(Network_Connections[[#This Row],[From2]],Assets[name],0))</f>
        <v>A00003</v>
      </c>
      <c r="G389" s="3" t="s">
        <v>145</v>
      </c>
      <c r="H389" s="3" t="s">
        <v>167</v>
      </c>
      <c r="I389" s="3">
        <v>1</v>
      </c>
      <c r="J38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"A00017"-&gt;"A00003"@00:("TCP", "443");</v>
      </c>
      <c r="K389" s="3" t="str">
        <f>RIGHT(Network_Connections[[#This Row],[port/protocol]],LEN(Network_Connections[[#This Row],[port/protocol]])-FIND("/",Network_Connections[[#This Row],[port/protocol]]))</f>
        <v>443</v>
      </c>
      <c r="L389" s="3">
        <f t="shared" si="7"/>
        <v>0</v>
      </c>
    </row>
    <row r="390" spans="1:12" x14ac:dyDescent="0.2">
      <c r="A390" s="3" t="s">
        <v>154</v>
      </c>
      <c r="B390" s="3" t="str">
        <f xml:space="preserve"> SUBSTITUTE(RIGHT(SUBSTITUTE(Network_Connections[[#This Row],[from]],"_",REPT("*",10)),10),"*","")</f>
        <v>WS2</v>
      </c>
      <c r="C390" s="3" t="str">
        <f>INDEX(Assets[Asset_ID],MATCH(Network_Connections[[#This Row],[From1]],Assets[name],0))</f>
        <v>A00017</v>
      </c>
      <c r="D390" s="3" t="s">
        <v>168</v>
      </c>
      <c r="E390" s="3" t="str">
        <f xml:space="preserve"> SUBSTITUTE(RIGHT(SUBSTITUTE(Network_Connections[[#This Row],[to]],"_",REPT("*",10)),10),"*","")</f>
        <v>WebSRV2</v>
      </c>
      <c r="F390" s="3" t="str">
        <f>INDEX(Assets[Asset_ID],MATCH(Network_Connections[[#This Row],[From2]],Assets[name],0))</f>
        <v>A00004</v>
      </c>
      <c r="G390" s="3" t="s">
        <v>145</v>
      </c>
      <c r="H390" s="3" t="s">
        <v>167</v>
      </c>
      <c r="I390" s="3">
        <v>1</v>
      </c>
      <c r="J39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"A00017"-&gt;"A00004"@00:("TCP", "443");</v>
      </c>
      <c r="K390" s="3" t="str">
        <f>RIGHT(Network_Connections[[#This Row],[port/protocol]],LEN(Network_Connections[[#This Row],[port/protocol]])-FIND("/",Network_Connections[[#This Row],[port/protocol]]))</f>
        <v>443</v>
      </c>
      <c r="L390" s="3">
        <f t="shared" si="7"/>
        <v>0</v>
      </c>
    </row>
    <row r="391" spans="1:12" x14ac:dyDescent="0.2">
      <c r="A391" s="3" t="s">
        <v>154</v>
      </c>
      <c r="B391" s="3" t="str">
        <f xml:space="preserve"> SUBSTITUTE(RIGHT(SUBSTITUTE(Network_Connections[[#This Row],[from]],"_",REPT("*",10)),10),"*","")</f>
        <v>WS2</v>
      </c>
      <c r="C391" s="3" t="str">
        <f>INDEX(Assets[Asset_ID],MATCH(Network_Connections[[#This Row],[From1]],Assets[name],0))</f>
        <v>A00017</v>
      </c>
      <c r="D391" s="3" t="s">
        <v>166</v>
      </c>
      <c r="E391" s="3" t="str">
        <f xml:space="preserve"> SUBSTITUTE(RIGHT(SUBSTITUTE(Network_Connections[[#This Row],[to]],"_",REPT("*",10)),10),"*","")</f>
        <v>FW2</v>
      </c>
      <c r="F391" s="3" t="str">
        <f>INDEX(Assets[Asset_ID],MATCH(Network_Connections[[#This Row],[From2]],Assets[name],0))</f>
        <v>A00005</v>
      </c>
      <c r="G391" s="3" t="s">
        <v>145</v>
      </c>
      <c r="H391" s="3" t="s">
        <v>144</v>
      </c>
      <c r="I391" s="3">
        <v>0</v>
      </c>
      <c r="J39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91" s="3" t="str">
        <f>RIGHT(Network_Connections[[#This Row],[port/protocol]],LEN(Network_Connections[[#This Row],[port/protocol]])-FIND("/",Network_Connections[[#This Row],[port/protocol]]))</f>
        <v>0-65535</v>
      </c>
      <c r="L391" s="3">
        <f t="shared" si="7"/>
        <v>0</v>
      </c>
    </row>
    <row r="392" spans="1:12" x14ac:dyDescent="0.2">
      <c r="A392" s="3" t="s">
        <v>154</v>
      </c>
      <c r="B392" s="3" t="str">
        <f xml:space="preserve"> SUBSTITUTE(RIGHT(SUBSTITUTE(Network_Connections[[#This Row],[from]],"_",REPT("*",10)),10),"*","")</f>
        <v>WS2</v>
      </c>
      <c r="C392" s="3" t="str">
        <f>INDEX(Assets[Asset_ID],MATCH(Network_Connections[[#This Row],[From1]],Assets[name],0))</f>
        <v>A00017</v>
      </c>
      <c r="D392" s="3" t="s">
        <v>165</v>
      </c>
      <c r="E392" s="3" t="str">
        <f xml:space="preserve"> SUBSTITUTE(RIGHT(SUBSTITUTE(Network_Connections[[#This Row],[to]],"_",REPT("*",10)),10),"*","")</f>
        <v>SW1</v>
      </c>
      <c r="F392" s="3" t="str">
        <f>INDEX(Assets[Asset_ID],MATCH(Network_Connections[[#This Row],[From2]],Assets[name],0))</f>
        <v>A00006</v>
      </c>
      <c r="G392" s="3" t="s">
        <v>145</v>
      </c>
      <c r="H392" s="3" t="s">
        <v>144</v>
      </c>
      <c r="I392" s="3">
        <v>0</v>
      </c>
      <c r="J39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92" s="3" t="str">
        <f>RIGHT(Network_Connections[[#This Row],[port/protocol]],LEN(Network_Connections[[#This Row],[port/protocol]])-FIND("/",Network_Connections[[#This Row],[port/protocol]]))</f>
        <v>0-65535</v>
      </c>
      <c r="L392" s="3">
        <f t="shared" si="7"/>
        <v>0</v>
      </c>
    </row>
    <row r="393" spans="1:12" x14ac:dyDescent="0.2">
      <c r="A393" s="3" t="s">
        <v>154</v>
      </c>
      <c r="B393" s="3" t="str">
        <f xml:space="preserve"> SUBSTITUTE(RIGHT(SUBSTITUTE(Network_Connections[[#This Row],[from]],"_",REPT("*",10)),10),"*","")</f>
        <v>WS2</v>
      </c>
      <c r="C393" s="3" t="str">
        <f>INDEX(Assets[Asset_ID],MATCH(Network_Connections[[#This Row],[From1]],Assets[name],0))</f>
        <v>A00017</v>
      </c>
      <c r="D393" s="3" t="s">
        <v>164</v>
      </c>
      <c r="E393" s="3" t="str">
        <f xml:space="preserve"> SUBSTITUTE(RIGHT(SUBSTITUTE(Network_Connections[[#This Row],[to]],"_",REPT("*",10)),10),"*","")</f>
        <v>AD</v>
      </c>
      <c r="F393" s="3" t="str">
        <f>INDEX(Assets[Asset_ID],MATCH(Network_Connections[[#This Row],[From2]],Assets[name],0))</f>
        <v>A00007</v>
      </c>
      <c r="G393" s="3" t="s">
        <v>145</v>
      </c>
      <c r="H393" s="3" t="s">
        <v>144</v>
      </c>
      <c r="I393" s="3">
        <v>1</v>
      </c>
      <c r="J39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"A00017"-&gt;"A00007"@00:("IP", "0-65535");</v>
      </c>
      <c r="K393" s="3" t="str">
        <f>RIGHT(Network_Connections[[#This Row],[port/protocol]],LEN(Network_Connections[[#This Row],[port/protocol]])-FIND("/",Network_Connections[[#This Row],[port/protocol]]))</f>
        <v>0-65535</v>
      </c>
      <c r="L393" s="3">
        <f t="shared" si="7"/>
        <v>0</v>
      </c>
    </row>
    <row r="394" spans="1:12" x14ac:dyDescent="0.2">
      <c r="A394" s="3" t="s">
        <v>154</v>
      </c>
      <c r="B394" s="3" t="str">
        <f xml:space="preserve"> SUBSTITUTE(RIGHT(SUBSTITUTE(Network_Connections[[#This Row],[from]],"_",REPT("*",10)),10),"*","")</f>
        <v>WS2</v>
      </c>
      <c r="C394" s="3" t="str">
        <f>INDEX(Assets[Asset_ID],MATCH(Network_Connections[[#This Row],[From1]],Assets[name],0))</f>
        <v>A00017</v>
      </c>
      <c r="D394" s="3" t="s">
        <v>163</v>
      </c>
      <c r="E394" s="3" t="str">
        <f xml:space="preserve"> SUBSTITUTE(RIGHT(SUBSTITUTE(Network_Connections[[#This Row],[to]],"_",REPT("*",10)),10),"*","")</f>
        <v>ERP</v>
      </c>
      <c r="F394" s="3" t="str">
        <f>INDEX(Assets[Asset_ID],MATCH(Network_Connections[[#This Row],[From2]],Assets[name],0))</f>
        <v>A00008</v>
      </c>
      <c r="G394" s="3" t="s">
        <v>145</v>
      </c>
      <c r="H394" s="3" t="s">
        <v>144</v>
      </c>
      <c r="I394" s="3">
        <v>1</v>
      </c>
      <c r="J39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"A00017"-&gt;"A00008"@00:("IP", "0-65535");</v>
      </c>
      <c r="K394" s="3" t="str">
        <f>RIGHT(Network_Connections[[#This Row],[port/protocol]],LEN(Network_Connections[[#This Row],[port/protocol]])-FIND("/",Network_Connections[[#This Row],[port/protocol]]))</f>
        <v>0-65535</v>
      </c>
      <c r="L394" s="3">
        <f t="shared" si="7"/>
        <v>0</v>
      </c>
    </row>
    <row r="395" spans="1:12" x14ac:dyDescent="0.2">
      <c r="A395" s="3" t="s">
        <v>154</v>
      </c>
      <c r="B395" s="3" t="str">
        <f xml:space="preserve"> SUBSTITUTE(RIGHT(SUBSTITUTE(Network_Connections[[#This Row],[from]],"_",REPT("*",10)),10),"*","")</f>
        <v>WS2</v>
      </c>
      <c r="C395" s="3" t="str">
        <f>INDEX(Assets[Asset_ID],MATCH(Network_Connections[[#This Row],[From1]],Assets[name],0))</f>
        <v>A00017</v>
      </c>
      <c r="D395" s="3" t="s">
        <v>162</v>
      </c>
      <c r="E395" s="3" t="str">
        <f xml:space="preserve"> SUBSTITUTE(RIGHT(SUBSTITUTE(Network_Connections[[#This Row],[to]],"_",REPT("*",10)),10),"*","")</f>
        <v>Banking</v>
      </c>
      <c r="F395" s="3" t="str">
        <f>INDEX(Assets[Asset_ID],MATCH(Network_Connections[[#This Row],[From2]],Assets[name],0))</f>
        <v>A00009</v>
      </c>
      <c r="G395" s="3" t="s">
        <v>145</v>
      </c>
      <c r="H395" s="3" t="s">
        <v>144</v>
      </c>
      <c r="I395" s="3">
        <v>0</v>
      </c>
      <c r="J39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95" s="3" t="str">
        <f>RIGHT(Network_Connections[[#This Row],[port/protocol]],LEN(Network_Connections[[#This Row],[port/protocol]])-FIND("/",Network_Connections[[#This Row],[port/protocol]]))</f>
        <v>0-65535</v>
      </c>
      <c r="L395" s="3">
        <f t="shared" si="7"/>
        <v>0</v>
      </c>
    </row>
    <row r="396" spans="1:12" x14ac:dyDescent="0.2">
      <c r="A396" s="3" t="s">
        <v>154</v>
      </c>
      <c r="B396" s="3" t="str">
        <f xml:space="preserve"> SUBSTITUTE(RIGHT(SUBSTITUTE(Network_Connections[[#This Row],[from]],"_",REPT("*",10)),10),"*","")</f>
        <v>WS2</v>
      </c>
      <c r="C396" s="3" t="str">
        <f>INDEX(Assets[Asset_ID],MATCH(Network_Connections[[#This Row],[From1]],Assets[name],0))</f>
        <v>A00017</v>
      </c>
      <c r="D396" s="3" t="s">
        <v>161</v>
      </c>
      <c r="E396" s="3" t="str">
        <f xml:space="preserve"> SUBSTITUTE(RIGHT(SUBSTITUTE(Network_Connections[[#This Row],[to]],"_",REPT("*",10)),10),"*","")</f>
        <v>Email</v>
      </c>
      <c r="F396" s="3" t="str">
        <f>INDEX(Assets[Asset_ID],MATCH(Network_Connections[[#This Row],[From2]],Assets[name],0))</f>
        <v>A00010</v>
      </c>
      <c r="G396" s="3" t="s">
        <v>145</v>
      </c>
      <c r="H396" s="3" t="s">
        <v>167</v>
      </c>
      <c r="I396" s="3">
        <v>1</v>
      </c>
      <c r="J39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"A00017"-&gt;"A00010"@00:("TCP", "443");</v>
      </c>
      <c r="K396" s="3" t="str">
        <f>RIGHT(Network_Connections[[#This Row],[port/protocol]],LEN(Network_Connections[[#This Row],[port/protocol]])-FIND("/",Network_Connections[[#This Row],[port/protocol]]))</f>
        <v>443</v>
      </c>
      <c r="L396" s="3">
        <f t="shared" si="7"/>
        <v>0</v>
      </c>
    </row>
    <row r="397" spans="1:12" x14ac:dyDescent="0.2">
      <c r="A397" s="3" t="s">
        <v>154</v>
      </c>
      <c r="B397" s="3" t="str">
        <f xml:space="preserve"> SUBSTITUTE(RIGHT(SUBSTITUTE(Network_Connections[[#This Row],[from]],"_",REPT("*",10)),10),"*","")</f>
        <v>WS2</v>
      </c>
      <c r="C397" s="3" t="str">
        <f>INDEX(Assets[Asset_ID],MATCH(Network_Connections[[#This Row],[From1]],Assets[name],0))</f>
        <v>A00017</v>
      </c>
      <c r="D397" s="3" t="s">
        <v>160</v>
      </c>
      <c r="E397" s="3" t="str">
        <f xml:space="preserve"> SUBSTITUTE(RIGHT(SUBSTITUTE(Network_Connections[[#This Row],[to]],"_",REPT("*",10)),10),"*","")</f>
        <v>WMS</v>
      </c>
      <c r="F397" s="3" t="str">
        <f>INDEX(Assets[Asset_ID],MATCH(Network_Connections[[#This Row],[From2]],Assets[name],0))</f>
        <v>A00011</v>
      </c>
      <c r="G397" s="3" t="s">
        <v>145</v>
      </c>
      <c r="H397" s="3" t="s">
        <v>144</v>
      </c>
      <c r="I397" s="3">
        <v>0</v>
      </c>
      <c r="J39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97" s="3" t="str">
        <f>RIGHT(Network_Connections[[#This Row],[port/protocol]],LEN(Network_Connections[[#This Row],[port/protocol]])-FIND("/",Network_Connections[[#This Row],[port/protocol]]))</f>
        <v>0-65535</v>
      </c>
      <c r="L397" s="3">
        <f t="shared" si="7"/>
        <v>0</v>
      </c>
    </row>
    <row r="398" spans="1:12" x14ac:dyDescent="0.2">
      <c r="A398" s="3" t="s">
        <v>154</v>
      </c>
      <c r="B398" s="3" t="str">
        <f xml:space="preserve"> SUBSTITUTE(RIGHT(SUBSTITUTE(Network_Connections[[#This Row],[from]],"_",REPT("*",10)),10),"*","")</f>
        <v>WS2</v>
      </c>
      <c r="C398" s="3" t="str">
        <f>INDEX(Assets[Asset_ID],MATCH(Network_Connections[[#This Row],[From1]],Assets[name],0))</f>
        <v>A00017</v>
      </c>
      <c r="D398" s="3" t="s">
        <v>159</v>
      </c>
      <c r="E398" s="3" t="str">
        <f xml:space="preserve"> SUBSTITUTE(RIGHT(SUBSTITUTE(Network_Connections[[#This Row],[to]],"_",REPT("*",10)),10),"*","")</f>
        <v>CRM</v>
      </c>
      <c r="F398" s="3" t="str">
        <f>INDEX(Assets[Asset_ID],MATCH(Network_Connections[[#This Row],[From2]],Assets[name],0))</f>
        <v>A00012</v>
      </c>
      <c r="G398" s="3" t="s">
        <v>145</v>
      </c>
      <c r="H398" s="3" t="s">
        <v>167</v>
      </c>
      <c r="I398" s="3">
        <v>1</v>
      </c>
      <c r="J39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"A00017"-&gt;"A00012"@00:("TCP", "443");</v>
      </c>
      <c r="K398" s="3" t="str">
        <f>RIGHT(Network_Connections[[#This Row],[port/protocol]],LEN(Network_Connections[[#This Row],[port/protocol]])-FIND("/",Network_Connections[[#This Row],[port/protocol]]))</f>
        <v>443</v>
      </c>
      <c r="L398" s="3">
        <f t="shared" si="7"/>
        <v>0</v>
      </c>
    </row>
    <row r="399" spans="1:12" x14ac:dyDescent="0.2">
      <c r="A399" s="3" t="s">
        <v>154</v>
      </c>
      <c r="B399" s="3" t="str">
        <f xml:space="preserve"> SUBSTITUTE(RIGHT(SUBSTITUTE(Network_Connections[[#This Row],[from]],"_",REPT("*",10)),10),"*","")</f>
        <v>WS2</v>
      </c>
      <c r="C399" s="3" t="str">
        <f>INDEX(Assets[Asset_ID],MATCH(Network_Connections[[#This Row],[From1]],Assets[name],0))</f>
        <v>A00017</v>
      </c>
      <c r="D399" s="3" t="s">
        <v>158</v>
      </c>
      <c r="E399" s="3" t="str">
        <f xml:space="preserve"> SUBSTITUTE(RIGHT(SUBSTITUTE(Network_Connections[[#This Row],[to]],"_",REPT("*",10)),10),"*","")</f>
        <v>WIFI1</v>
      </c>
      <c r="F399" s="3" t="str">
        <f>INDEX(Assets[Asset_ID],MATCH(Network_Connections[[#This Row],[From2]],Assets[name],0))</f>
        <v>A00013</v>
      </c>
      <c r="G399" s="3" t="s">
        <v>145</v>
      </c>
      <c r="H399" s="3" t="s">
        <v>144</v>
      </c>
      <c r="I399" s="3">
        <v>0</v>
      </c>
      <c r="J39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399" s="3" t="str">
        <f>RIGHT(Network_Connections[[#This Row],[port/protocol]],LEN(Network_Connections[[#This Row],[port/protocol]])-FIND("/",Network_Connections[[#This Row],[port/protocol]]))</f>
        <v>0-65535</v>
      </c>
      <c r="L399" s="3">
        <f t="shared" si="7"/>
        <v>0</v>
      </c>
    </row>
    <row r="400" spans="1:12" x14ac:dyDescent="0.2">
      <c r="A400" s="3" t="s">
        <v>154</v>
      </c>
      <c r="B400" s="3" t="str">
        <f xml:space="preserve"> SUBSTITUTE(RIGHT(SUBSTITUTE(Network_Connections[[#This Row],[from]],"_",REPT("*",10)),10),"*","")</f>
        <v>WS2</v>
      </c>
      <c r="C400" s="3" t="str">
        <f>INDEX(Assets[Asset_ID],MATCH(Network_Connections[[#This Row],[From1]],Assets[name],0))</f>
        <v>A00017</v>
      </c>
      <c r="D400" s="3" t="s">
        <v>157</v>
      </c>
      <c r="E400" s="3" t="str">
        <f xml:space="preserve"> SUBSTITUTE(RIGHT(SUBSTITUTE(Network_Connections[[#This Row],[to]],"_",REPT("*",10)),10),"*","")</f>
        <v>WS1</v>
      </c>
      <c r="F400" s="3" t="str">
        <f>INDEX(Assets[Asset_ID],MATCH(Network_Connections[[#This Row],[From2]],Assets[name],0))</f>
        <v>A00014</v>
      </c>
      <c r="G400" s="3" t="s">
        <v>145</v>
      </c>
      <c r="H400" s="3" t="s">
        <v>144</v>
      </c>
      <c r="I400" s="3">
        <v>0</v>
      </c>
      <c r="J40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0" s="3" t="str">
        <f>RIGHT(Network_Connections[[#This Row],[port/protocol]],LEN(Network_Connections[[#This Row],[port/protocol]])-FIND("/",Network_Connections[[#This Row],[port/protocol]]))</f>
        <v>0-65535</v>
      </c>
      <c r="L400" s="3">
        <f t="shared" si="7"/>
        <v>0</v>
      </c>
    </row>
    <row r="401" spans="1:12" x14ac:dyDescent="0.2">
      <c r="A401" s="3" t="s">
        <v>154</v>
      </c>
      <c r="B401" s="3" t="str">
        <f xml:space="preserve"> SUBSTITUTE(RIGHT(SUBSTITUTE(Network_Connections[[#This Row],[from]],"_",REPT("*",10)),10),"*","")</f>
        <v>WS2</v>
      </c>
      <c r="C401" s="3" t="str">
        <f>INDEX(Assets[Asset_ID],MATCH(Network_Connections[[#This Row],[From1]],Assets[name],0))</f>
        <v>A00017</v>
      </c>
      <c r="D401" s="3" t="s">
        <v>156</v>
      </c>
      <c r="E401" s="3" t="str">
        <f xml:space="preserve"> SUBSTITUTE(RIGHT(SUBSTITUTE(Network_Connections[[#This Row],[to]],"_",REPT("*",10)),10),"*","")</f>
        <v>FW3</v>
      </c>
      <c r="F401" s="3" t="str">
        <f>INDEX(Assets[Asset_ID],MATCH(Network_Connections[[#This Row],[From2]],Assets[name],0))</f>
        <v>A00015</v>
      </c>
      <c r="G401" s="3" t="s">
        <v>145</v>
      </c>
      <c r="H401" s="3" t="s">
        <v>144</v>
      </c>
      <c r="I401" s="3">
        <v>0</v>
      </c>
      <c r="J40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1" s="3" t="str">
        <f>RIGHT(Network_Connections[[#This Row],[port/protocol]],LEN(Network_Connections[[#This Row],[port/protocol]])-FIND("/",Network_Connections[[#This Row],[port/protocol]]))</f>
        <v>0-65535</v>
      </c>
      <c r="L401" s="3">
        <f t="shared" si="7"/>
        <v>0</v>
      </c>
    </row>
    <row r="402" spans="1:12" x14ac:dyDescent="0.2">
      <c r="A402" s="3" t="s">
        <v>154</v>
      </c>
      <c r="B402" s="3" t="str">
        <f xml:space="preserve"> SUBSTITUTE(RIGHT(SUBSTITUTE(Network_Connections[[#This Row],[from]],"_",REPT("*",10)),10),"*","")</f>
        <v>WS2</v>
      </c>
      <c r="C402" s="3" t="str">
        <f>INDEX(Assets[Asset_ID],MATCH(Network_Connections[[#This Row],[From1]],Assets[name],0))</f>
        <v>A00017</v>
      </c>
      <c r="D402" s="3" t="s">
        <v>155</v>
      </c>
      <c r="E402" s="3" t="str">
        <f xml:space="preserve"> SUBSTITUTE(RIGHT(SUBSTITUTE(Network_Connections[[#This Row],[to]],"_",REPT("*",10)),10),"*","")</f>
        <v>SW2</v>
      </c>
      <c r="F402" s="3" t="str">
        <f>INDEX(Assets[Asset_ID],MATCH(Network_Connections[[#This Row],[From2]],Assets[name],0))</f>
        <v>A00016</v>
      </c>
      <c r="G402" s="3" t="s">
        <v>145</v>
      </c>
      <c r="H402" s="3" t="s">
        <v>144</v>
      </c>
      <c r="I402" s="3">
        <v>0</v>
      </c>
      <c r="J40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2" s="3" t="str">
        <f>RIGHT(Network_Connections[[#This Row],[port/protocol]],LEN(Network_Connections[[#This Row],[port/protocol]])-FIND("/",Network_Connections[[#This Row],[port/protocol]]))</f>
        <v>0-65535</v>
      </c>
      <c r="L402" s="3">
        <f t="shared" si="7"/>
        <v>0</v>
      </c>
    </row>
    <row r="403" spans="1:12" x14ac:dyDescent="0.2">
      <c r="A403" s="3" t="s">
        <v>154</v>
      </c>
      <c r="B403" s="3" t="str">
        <f xml:space="preserve"> SUBSTITUTE(RIGHT(SUBSTITUTE(Network_Connections[[#This Row],[from]],"_",REPT("*",10)),10),"*","")</f>
        <v>WS2</v>
      </c>
      <c r="C403" s="3" t="str">
        <f>INDEX(Assets[Asset_ID],MATCH(Network_Connections[[#This Row],[From1]],Assets[name],0))</f>
        <v>A00017</v>
      </c>
      <c r="D403" s="3" t="s">
        <v>153</v>
      </c>
      <c r="E403" s="3" t="str">
        <f xml:space="preserve"> SUBSTITUTE(RIGHT(SUBSTITUTE(Network_Connections[[#This Row],[to]],"_",REPT("*",10)),10),"*","")</f>
        <v>WS3</v>
      </c>
      <c r="F403" s="3" t="str">
        <f>INDEX(Assets[Asset_ID],MATCH(Network_Connections[[#This Row],[From2]],Assets[name],0))</f>
        <v>A00018</v>
      </c>
      <c r="G403" s="3" t="s">
        <v>145</v>
      </c>
      <c r="H403" s="3" t="s">
        <v>144</v>
      </c>
      <c r="I403" s="3">
        <v>0</v>
      </c>
      <c r="J40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3" s="3" t="str">
        <f>RIGHT(Network_Connections[[#This Row],[port/protocol]],LEN(Network_Connections[[#This Row],[port/protocol]])-FIND("/",Network_Connections[[#This Row],[port/protocol]]))</f>
        <v>0-65535</v>
      </c>
      <c r="L403" s="3">
        <f t="shared" si="7"/>
        <v>0</v>
      </c>
    </row>
    <row r="404" spans="1:12" x14ac:dyDescent="0.2">
      <c r="A404" s="3" t="s">
        <v>154</v>
      </c>
      <c r="B404" s="3" t="str">
        <f xml:space="preserve"> SUBSTITUTE(RIGHT(SUBSTITUTE(Network_Connections[[#This Row],[from]],"_",REPT("*",10)),10),"*","")</f>
        <v>WS2</v>
      </c>
      <c r="C404" s="3" t="str">
        <f>INDEX(Assets[Asset_ID],MATCH(Network_Connections[[#This Row],[From1]],Assets[name],0))</f>
        <v>A00017</v>
      </c>
      <c r="D404" s="3" t="s">
        <v>152</v>
      </c>
      <c r="E404" s="3" t="str">
        <f xml:space="preserve"> SUBSTITUTE(RIGHT(SUBSTITUTE(Network_Connections[[#This Row],[to]],"_",REPT("*",10)),10),"*","")</f>
        <v>WS4</v>
      </c>
      <c r="F404" s="3" t="str">
        <f>INDEX(Assets[Asset_ID],MATCH(Network_Connections[[#This Row],[From2]],Assets[name],0))</f>
        <v>A00019</v>
      </c>
      <c r="G404" s="3" t="s">
        <v>145</v>
      </c>
      <c r="H404" s="3" t="s">
        <v>144</v>
      </c>
      <c r="I404" s="3">
        <v>0</v>
      </c>
      <c r="J40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4" s="3" t="str">
        <f>RIGHT(Network_Connections[[#This Row],[port/protocol]],LEN(Network_Connections[[#This Row],[port/protocol]])-FIND("/",Network_Connections[[#This Row],[port/protocol]]))</f>
        <v>0-65535</v>
      </c>
      <c r="L404" s="3">
        <f t="shared" si="7"/>
        <v>0</v>
      </c>
    </row>
    <row r="405" spans="1:12" x14ac:dyDescent="0.2">
      <c r="A405" s="3" t="s">
        <v>154</v>
      </c>
      <c r="B405" s="3" t="str">
        <f xml:space="preserve"> SUBSTITUTE(RIGHT(SUBSTITUTE(Network_Connections[[#This Row],[from]],"_",REPT("*",10)),10),"*","")</f>
        <v>WS2</v>
      </c>
      <c r="C405" s="3" t="str">
        <f>INDEX(Assets[Asset_ID],MATCH(Network_Connections[[#This Row],[From1]],Assets[name],0))</f>
        <v>A00017</v>
      </c>
      <c r="D405" s="3" t="s">
        <v>151</v>
      </c>
      <c r="E405" s="3" t="str">
        <f xml:space="preserve"> SUBSTITUTE(RIGHT(SUBSTITUTE(Network_Connections[[#This Row],[to]],"_",REPT("*",10)),10),"*","")</f>
        <v>FW4</v>
      </c>
      <c r="F405" s="3" t="str">
        <f>INDEX(Assets[Asset_ID],MATCH(Network_Connections[[#This Row],[From2]],Assets[name],0))</f>
        <v>A00020</v>
      </c>
      <c r="G405" s="3" t="s">
        <v>145</v>
      </c>
      <c r="H405" s="3" t="s">
        <v>144</v>
      </c>
      <c r="I405" s="3">
        <v>0</v>
      </c>
      <c r="J40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5" s="3" t="str">
        <f>RIGHT(Network_Connections[[#This Row],[port/protocol]],LEN(Network_Connections[[#This Row],[port/protocol]])-FIND("/",Network_Connections[[#This Row],[port/protocol]]))</f>
        <v>0-65535</v>
      </c>
      <c r="L405" s="3">
        <f t="shared" si="7"/>
        <v>0</v>
      </c>
    </row>
    <row r="406" spans="1:12" x14ac:dyDescent="0.2">
      <c r="A406" s="3" t="s">
        <v>154</v>
      </c>
      <c r="B406" s="3" t="str">
        <f xml:space="preserve"> SUBSTITUTE(RIGHT(SUBSTITUTE(Network_Connections[[#This Row],[from]],"_",REPT("*",10)),10),"*","")</f>
        <v>WS2</v>
      </c>
      <c r="C406" s="3" t="str">
        <f>INDEX(Assets[Asset_ID],MATCH(Network_Connections[[#This Row],[From1]],Assets[name],0))</f>
        <v>A00017</v>
      </c>
      <c r="D406" s="3" t="s">
        <v>150</v>
      </c>
      <c r="E406" s="3" t="str">
        <f xml:space="preserve"> SUBSTITUTE(RIGHT(SUBSTITUTE(Network_Connections[[#This Row],[to]],"_",REPT("*",10)),10),"*","")</f>
        <v>WIFI2</v>
      </c>
      <c r="F406" s="3" t="str">
        <f>INDEX(Assets[Asset_ID],MATCH(Network_Connections[[#This Row],[From2]],Assets[name],0))</f>
        <v>A00021</v>
      </c>
      <c r="G406" s="3" t="s">
        <v>145</v>
      </c>
      <c r="H406" s="3" t="s">
        <v>144</v>
      </c>
      <c r="I406" s="3">
        <v>0</v>
      </c>
      <c r="J40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6" s="3" t="str">
        <f>RIGHT(Network_Connections[[#This Row],[port/protocol]],LEN(Network_Connections[[#This Row],[port/protocol]])-FIND("/",Network_Connections[[#This Row],[port/protocol]]))</f>
        <v>0-65535</v>
      </c>
      <c r="L406" s="3">
        <f t="shared" si="7"/>
        <v>0</v>
      </c>
    </row>
    <row r="407" spans="1:12" x14ac:dyDescent="0.2">
      <c r="A407" s="3" t="s">
        <v>154</v>
      </c>
      <c r="B407" s="3" t="str">
        <f xml:space="preserve"> SUBSTITUTE(RIGHT(SUBSTITUTE(Network_Connections[[#This Row],[from]],"_",REPT("*",10)),10),"*","")</f>
        <v>WS2</v>
      </c>
      <c r="C407" s="3" t="str">
        <f>INDEX(Assets[Asset_ID],MATCH(Network_Connections[[#This Row],[From1]],Assets[name],0))</f>
        <v>A00017</v>
      </c>
      <c r="D407" s="3" t="s">
        <v>149</v>
      </c>
      <c r="E407" s="3" t="str">
        <f xml:space="preserve"> SUBSTITUTE(RIGHT(SUBSTITUTE(Network_Connections[[#This Row],[to]],"_",REPT("*",10)),10),"*","")</f>
        <v>WS5</v>
      </c>
      <c r="F407" s="3" t="str">
        <f>INDEX(Assets[Asset_ID],MATCH(Network_Connections[[#This Row],[From2]],Assets[name],0))</f>
        <v>A00022</v>
      </c>
      <c r="G407" s="3" t="s">
        <v>145</v>
      </c>
      <c r="H407" s="3" t="s">
        <v>144</v>
      </c>
      <c r="I407" s="3">
        <v>0</v>
      </c>
      <c r="J40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7" s="3" t="str">
        <f>RIGHT(Network_Connections[[#This Row],[port/protocol]],LEN(Network_Connections[[#This Row],[port/protocol]])-FIND("/",Network_Connections[[#This Row],[port/protocol]]))</f>
        <v>0-65535</v>
      </c>
      <c r="L407" s="3">
        <f t="shared" si="7"/>
        <v>0</v>
      </c>
    </row>
    <row r="408" spans="1:12" x14ac:dyDescent="0.2">
      <c r="A408" s="3" t="s">
        <v>154</v>
      </c>
      <c r="B408" s="3" t="str">
        <f xml:space="preserve"> SUBSTITUTE(RIGHT(SUBSTITUTE(Network_Connections[[#This Row],[from]],"_",REPT("*",10)),10),"*","")</f>
        <v>WS2</v>
      </c>
      <c r="C408" s="3" t="str">
        <f>INDEX(Assets[Asset_ID],MATCH(Network_Connections[[#This Row],[From1]],Assets[name],0))</f>
        <v>A00017</v>
      </c>
      <c r="D408" s="3" t="s">
        <v>148</v>
      </c>
      <c r="E408" s="3" t="str">
        <f xml:space="preserve"> SUBSTITUTE(RIGHT(SUBSTITUTE(Network_Connections[[#This Row],[to]],"_",REPT("*",10)),10),"*","")</f>
        <v>WS6</v>
      </c>
      <c r="F408" s="3" t="str">
        <f>INDEX(Assets[Asset_ID],MATCH(Network_Connections[[#This Row],[From2]],Assets[name],0))</f>
        <v>A00023</v>
      </c>
      <c r="G408" s="3" t="s">
        <v>145</v>
      </c>
      <c r="H408" s="3" t="s">
        <v>144</v>
      </c>
      <c r="I408" s="3">
        <v>0</v>
      </c>
      <c r="J40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8" s="3" t="str">
        <f>RIGHT(Network_Connections[[#This Row],[port/protocol]],LEN(Network_Connections[[#This Row],[port/protocol]])-FIND("/",Network_Connections[[#This Row],[port/protocol]]))</f>
        <v>0-65535</v>
      </c>
      <c r="L408" s="3">
        <f t="shared" si="7"/>
        <v>0</v>
      </c>
    </row>
    <row r="409" spans="1:12" x14ac:dyDescent="0.2">
      <c r="A409" s="3" t="s">
        <v>154</v>
      </c>
      <c r="B409" s="3" t="str">
        <f xml:space="preserve"> SUBSTITUTE(RIGHT(SUBSTITUTE(Network_Connections[[#This Row],[from]],"_",REPT("*",10)),10),"*","")</f>
        <v>WS2</v>
      </c>
      <c r="C409" s="3" t="str">
        <f>INDEX(Assets[Asset_ID],MATCH(Network_Connections[[#This Row],[From1]],Assets[name],0))</f>
        <v>A00017</v>
      </c>
      <c r="D409" s="3" t="s">
        <v>146</v>
      </c>
      <c r="E409" s="3" t="str">
        <f xml:space="preserve"> SUBSTITUTE(RIGHT(SUBSTITUTE(Network_Connections[[#This Row],[to]],"_",REPT("*",10)),10),"*","")</f>
        <v>WS7</v>
      </c>
      <c r="F409" s="3" t="str">
        <f>INDEX(Assets[Asset_ID],MATCH(Network_Connections[[#This Row],[From2]],Assets[name],0))</f>
        <v>A00024</v>
      </c>
      <c r="G409" s="3" t="s">
        <v>145</v>
      </c>
      <c r="H409" s="3" t="s">
        <v>144</v>
      </c>
      <c r="I409" s="3">
        <v>0</v>
      </c>
      <c r="J40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09" s="3" t="str">
        <f>RIGHT(Network_Connections[[#This Row],[port/protocol]],LEN(Network_Connections[[#This Row],[port/protocol]])-FIND("/",Network_Connections[[#This Row],[port/protocol]]))</f>
        <v>0-65535</v>
      </c>
      <c r="L409" s="3">
        <f t="shared" si="7"/>
        <v>0</v>
      </c>
    </row>
    <row r="410" spans="1:12" x14ac:dyDescent="0.2">
      <c r="A410" s="3" t="s">
        <v>154</v>
      </c>
      <c r="B410" s="3" t="str">
        <f xml:space="preserve"> SUBSTITUTE(RIGHT(SUBSTITUTE(Network_Connections[[#This Row],[from]],"_",REPT("*",10)),10),"*","")</f>
        <v>WS2</v>
      </c>
      <c r="C410" s="3" t="str">
        <f>INDEX(Assets[Asset_ID],MATCH(Network_Connections[[#This Row],[From1]],Assets[name],0))</f>
        <v>A00017</v>
      </c>
      <c r="D410" s="3" t="s">
        <v>147</v>
      </c>
      <c r="E410" s="3" t="str">
        <f xml:space="preserve"> SUBSTITUTE(RIGHT(SUBSTITUTE(Network_Connections[[#This Row],[to]],"_",REPT("*",10)),10),"*","")</f>
        <v>WS8</v>
      </c>
      <c r="F410" s="3" t="str">
        <f>INDEX(Assets[Asset_ID],MATCH(Network_Connections[[#This Row],[From2]],Assets[name],0))</f>
        <v>A00025</v>
      </c>
      <c r="G410" s="3" t="s">
        <v>145</v>
      </c>
      <c r="H410" s="3" t="s">
        <v>144</v>
      </c>
      <c r="I410" s="3">
        <v>0</v>
      </c>
      <c r="J41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10" s="3" t="str">
        <f>RIGHT(Network_Connections[[#This Row],[port/protocol]],LEN(Network_Connections[[#This Row],[port/protocol]])-FIND("/",Network_Connections[[#This Row],[port/protocol]]))</f>
        <v>0-65535</v>
      </c>
      <c r="L410" s="3">
        <f t="shared" si="7"/>
        <v>0</v>
      </c>
    </row>
    <row r="411" spans="1:12" x14ac:dyDescent="0.2">
      <c r="A411" s="3" t="s">
        <v>153</v>
      </c>
      <c r="B411" s="3" t="str">
        <f xml:space="preserve"> SUBSTITUTE(RIGHT(SUBSTITUTE(Network_Connections[[#This Row],[from]],"_",REPT("*",10)),10),"*","")</f>
        <v>WS3</v>
      </c>
      <c r="C411" s="3" t="str">
        <f>INDEX(Assets[Asset_ID],MATCH(Network_Connections[[#This Row],[From1]],Assets[name],0))</f>
        <v>A00018</v>
      </c>
      <c r="D411" s="3" t="s">
        <v>171</v>
      </c>
      <c r="E411" s="3" t="str">
        <f xml:space="preserve"> SUBSTITUTE(RIGHT(SUBSTITUTE(Network_Connections[[#This Row],[to]],"_",REPT("*",10)),10),"*","")</f>
        <v>FW1</v>
      </c>
      <c r="F411" s="3" t="str">
        <f>INDEX(Assets[Asset_ID],MATCH(Network_Connections[[#This Row],[From2]],Assets[name],0))</f>
        <v>A00001</v>
      </c>
      <c r="G411" s="3" t="s">
        <v>145</v>
      </c>
      <c r="H411" s="3" t="s">
        <v>144</v>
      </c>
      <c r="I411" s="3">
        <v>1</v>
      </c>
      <c r="J41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"A00018"-&gt;"A00001"@00:("IP", "0-65535");</v>
      </c>
      <c r="K411" s="3" t="str">
        <f>RIGHT(Network_Connections[[#This Row],[port/protocol]],LEN(Network_Connections[[#This Row],[port/protocol]])-FIND("/",Network_Connections[[#This Row],[port/protocol]]))</f>
        <v>0-65535</v>
      </c>
      <c r="L411" s="3">
        <f t="shared" si="7"/>
        <v>0</v>
      </c>
    </row>
    <row r="412" spans="1:12" x14ac:dyDescent="0.2">
      <c r="A412" s="3" t="s">
        <v>153</v>
      </c>
      <c r="B412" s="3" t="str">
        <f xml:space="preserve"> SUBSTITUTE(RIGHT(SUBSTITUTE(Network_Connections[[#This Row],[from]],"_",REPT("*",10)),10),"*","")</f>
        <v>WS3</v>
      </c>
      <c r="C412" s="3" t="str">
        <f>INDEX(Assets[Asset_ID],MATCH(Network_Connections[[#This Row],[From1]],Assets[name],0))</f>
        <v>A00018</v>
      </c>
      <c r="D412" s="3" t="s">
        <v>170</v>
      </c>
      <c r="E412" s="3" t="str">
        <f xml:space="preserve"> SUBSTITUTE(RIGHT(SUBSTITUTE(Network_Connections[[#This Row],[to]],"_",REPT("*",10)),10),"*","")</f>
        <v>VPNSRV</v>
      </c>
      <c r="F412" s="3" t="str">
        <f>INDEX(Assets[Asset_ID],MATCH(Network_Connections[[#This Row],[From2]],Assets[name],0))</f>
        <v>A00002</v>
      </c>
      <c r="G412" s="3" t="s">
        <v>145</v>
      </c>
      <c r="H412" s="3" t="s">
        <v>144</v>
      </c>
      <c r="I412" s="3">
        <v>1</v>
      </c>
      <c r="J41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"A00018"-&gt;"A00002"@00:("IP", "0-65535");</v>
      </c>
      <c r="K412" s="3" t="str">
        <f>RIGHT(Network_Connections[[#This Row],[port/protocol]],LEN(Network_Connections[[#This Row],[port/protocol]])-FIND("/",Network_Connections[[#This Row],[port/protocol]]))</f>
        <v>0-65535</v>
      </c>
      <c r="L412" s="3">
        <f t="shared" si="7"/>
        <v>0</v>
      </c>
    </row>
    <row r="413" spans="1:12" x14ac:dyDescent="0.2">
      <c r="A413" s="3" t="s">
        <v>153</v>
      </c>
      <c r="B413" s="3" t="str">
        <f xml:space="preserve"> SUBSTITUTE(RIGHT(SUBSTITUTE(Network_Connections[[#This Row],[from]],"_",REPT("*",10)),10),"*","")</f>
        <v>WS3</v>
      </c>
      <c r="C413" s="3" t="str">
        <f>INDEX(Assets[Asset_ID],MATCH(Network_Connections[[#This Row],[From1]],Assets[name],0))</f>
        <v>A00018</v>
      </c>
      <c r="D413" s="3" t="s">
        <v>169</v>
      </c>
      <c r="E413" s="3" t="str">
        <f xml:space="preserve"> SUBSTITUTE(RIGHT(SUBSTITUTE(Network_Connections[[#This Row],[to]],"_",REPT("*",10)),10),"*","")</f>
        <v>WebSRV1</v>
      </c>
      <c r="F413" s="3" t="str">
        <f>INDEX(Assets[Asset_ID],MATCH(Network_Connections[[#This Row],[From2]],Assets[name],0))</f>
        <v>A00003</v>
      </c>
      <c r="G413" s="3" t="s">
        <v>145</v>
      </c>
      <c r="H413" s="3" t="s">
        <v>167</v>
      </c>
      <c r="I413" s="3">
        <v>1</v>
      </c>
      <c r="J41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"A00018"-&gt;"A00003"@00:("TCP", "443");</v>
      </c>
      <c r="K413" s="3" t="str">
        <f>RIGHT(Network_Connections[[#This Row],[port/protocol]],LEN(Network_Connections[[#This Row],[port/protocol]])-FIND("/",Network_Connections[[#This Row],[port/protocol]]))</f>
        <v>443</v>
      </c>
      <c r="L413" s="3">
        <f t="shared" si="7"/>
        <v>0</v>
      </c>
    </row>
    <row r="414" spans="1:12" x14ac:dyDescent="0.2">
      <c r="A414" s="3" t="s">
        <v>153</v>
      </c>
      <c r="B414" s="3" t="str">
        <f xml:space="preserve"> SUBSTITUTE(RIGHT(SUBSTITUTE(Network_Connections[[#This Row],[from]],"_",REPT("*",10)),10),"*","")</f>
        <v>WS3</v>
      </c>
      <c r="C414" s="3" t="str">
        <f>INDEX(Assets[Asset_ID],MATCH(Network_Connections[[#This Row],[From1]],Assets[name],0))</f>
        <v>A00018</v>
      </c>
      <c r="D414" s="3" t="s">
        <v>168</v>
      </c>
      <c r="E414" s="3" t="str">
        <f xml:space="preserve"> SUBSTITUTE(RIGHT(SUBSTITUTE(Network_Connections[[#This Row],[to]],"_",REPT("*",10)),10),"*","")</f>
        <v>WebSRV2</v>
      </c>
      <c r="F414" s="3" t="str">
        <f>INDEX(Assets[Asset_ID],MATCH(Network_Connections[[#This Row],[From2]],Assets[name],0))</f>
        <v>A00004</v>
      </c>
      <c r="G414" s="3" t="s">
        <v>145</v>
      </c>
      <c r="H414" s="3" t="s">
        <v>167</v>
      </c>
      <c r="I414" s="3">
        <v>1</v>
      </c>
      <c r="J41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"A00018"-&gt;"A00004"@00:("TCP", "443");</v>
      </c>
      <c r="K414" s="3" t="str">
        <f>RIGHT(Network_Connections[[#This Row],[port/protocol]],LEN(Network_Connections[[#This Row],[port/protocol]])-FIND("/",Network_Connections[[#This Row],[port/protocol]]))</f>
        <v>443</v>
      </c>
      <c r="L414" s="3">
        <f t="shared" si="7"/>
        <v>0</v>
      </c>
    </row>
    <row r="415" spans="1:12" x14ac:dyDescent="0.2">
      <c r="A415" s="3" t="s">
        <v>153</v>
      </c>
      <c r="B415" s="3" t="str">
        <f xml:space="preserve"> SUBSTITUTE(RIGHT(SUBSTITUTE(Network_Connections[[#This Row],[from]],"_",REPT("*",10)),10),"*","")</f>
        <v>WS3</v>
      </c>
      <c r="C415" s="3" t="str">
        <f>INDEX(Assets[Asset_ID],MATCH(Network_Connections[[#This Row],[From1]],Assets[name],0))</f>
        <v>A00018</v>
      </c>
      <c r="D415" s="3" t="s">
        <v>166</v>
      </c>
      <c r="E415" s="3" t="str">
        <f xml:space="preserve"> SUBSTITUTE(RIGHT(SUBSTITUTE(Network_Connections[[#This Row],[to]],"_",REPT("*",10)),10),"*","")</f>
        <v>FW2</v>
      </c>
      <c r="F415" s="3" t="str">
        <f>INDEX(Assets[Asset_ID],MATCH(Network_Connections[[#This Row],[From2]],Assets[name],0))</f>
        <v>A00005</v>
      </c>
      <c r="G415" s="3" t="s">
        <v>145</v>
      </c>
      <c r="H415" s="3" t="s">
        <v>144</v>
      </c>
      <c r="I415" s="3">
        <v>1</v>
      </c>
      <c r="J41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"A00018"-&gt;"A00005"@00:("IP", "0-65535");</v>
      </c>
      <c r="K415" s="3" t="str">
        <f>RIGHT(Network_Connections[[#This Row],[port/protocol]],LEN(Network_Connections[[#This Row],[port/protocol]])-FIND("/",Network_Connections[[#This Row],[port/protocol]]))</f>
        <v>0-65535</v>
      </c>
      <c r="L415" s="3">
        <f t="shared" si="7"/>
        <v>0</v>
      </c>
    </row>
    <row r="416" spans="1:12" x14ac:dyDescent="0.2">
      <c r="A416" s="3" t="s">
        <v>153</v>
      </c>
      <c r="B416" s="3" t="str">
        <f xml:space="preserve"> SUBSTITUTE(RIGHT(SUBSTITUTE(Network_Connections[[#This Row],[from]],"_",REPT("*",10)),10),"*","")</f>
        <v>WS3</v>
      </c>
      <c r="C416" s="3" t="str">
        <f>INDEX(Assets[Asset_ID],MATCH(Network_Connections[[#This Row],[From1]],Assets[name],0))</f>
        <v>A00018</v>
      </c>
      <c r="D416" s="3" t="s">
        <v>165</v>
      </c>
      <c r="E416" s="3" t="str">
        <f xml:space="preserve"> SUBSTITUTE(RIGHT(SUBSTITUTE(Network_Connections[[#This Row],[to]],"_",REPT("*",10)),10),"*","")</f>
        <v>SW1</v>
      </c>
      <c r="F416" s="3" t="str">
        <f>INDEX(Assets[Asset_ID],MATCH(Network_Connections[[#This Row],[From2]],Assets[name],0))</f>
        <v>A00006</v>
      </c>
      <c r="G416" s="3" t="s">
        <v>145</v>
      </c>
      <c r="H416" s="3" t="s">
        <v>144</v>
      </c>
      <c r="I416" s="3">
        <v>1</v>
      </c>
      <c r="J41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"A00018"-&gt;"A00006"@00:("IP", "0-65535");</v>
      </c>
      <c r="K416" s="3" t="str">
        <f>RIGHT(Network_Connections[[#This Row],[port/protocol]],LEN(Network_Connections[[#This Row],[port/protocol]])-FIND("/",Network_Connections[[#This Row],[port/protocol]]))</f>
        <v>0-65535</v>
      </c>
      <c r="L416" s="3">
        <f t="shared" si="7"/>
        <v>0</v>
      </c>
    </row>
    <row r="417" spans="1:12" x14ac:dyDescent="0.2">
      <c r="A417" s="3" t="s">
        <v>153</v>
      </c>
      <c r="B417" s="3" t="str">
        <f xml:space="preserve"> SUBSTITUTE(RIGHT(SUBSTITUTE(Network_Connections[[#This Row],[from]],"_",REPT("*",10)),10),"*","")</f>
        <v>WS3</v>
      </c>
      <c r="C417" s="3" t="str">
        <f>INDEX(Assets[Asset_ID],MATCH(Network_Connections[[#This Row],[From1]],Assets[name],0))</f>
        <v>A00018</v>
      </c>
      <c r="D417" s="3" t="s">
        <v>164</v>
      </c>
      <c r="E417" s="3" t="str">
        <f xml:space="preserve"> SUBSTITUTE(RIGHT(SUBSTITUTE(Network_Connections[[#This Row],[to]],"_",REPT("*",10)),10),"*","")</f>
        <v>AD</v>
      </c>
      <c r="F417" s="3" t="str">
        <f>INDEX(Assets[Asset_ID],MATCH(Network_Connections[[#This Row],[From2]],Assets[name],0))</f>
        <v>A00007</v>
      </c>
      <c r="G417" s="3" t="s">
        <v>145</v>
      </c>
      <c r="H417" s="3" t="s">
        <v>144</v>
      </c>
      <c r="I417" s="3">
        <v>1</v>
      </c>
      <c r="J41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"A00018"-&gt;"A00007"@00:("IP", "0-65535");</v>
      </c>
      <c r="K417" s="3" t="str">
        <f>RIGHT(Network_Connections[[#This Row],[port/protocol]],LEN(Network_Connections[[#This Row],[port/protocol]])-FIND("/",Network_Connections[[#This Row],[port/protocol]]))</f>
        <v>0-65535</v>
      </c>
      <c r="L417" s="3">
        <f t="shared" si="7"/>
        <v>0</v>
      </c>
    </row>
    <row r="418" spans="1:12" x14ac:dyDescent="0.2">
      <c r="A418" s="3" t="s">
        <v>153</v>
      </c>
      <c r="B418" s="3" t="str">
        <f xml:space="preserve"> SUBSTITUTE(RIGHT(SUBSTITUTE(Network_Connections[[#This Row],[from]],"_",REPT("*",10)),10),"*","")</f>
        <v>WS3</v>
      </c>
      <c r="C418" s="3" t="str">
        <f>INDEX(Assets[Asset_ID],MATCH(Network_Connections[[#This Row],[From1]],Assets[name],0))</f>
        <v>A00018</v>
      </c>
      <c r="D418" s="3" t="s">
        <v>163</v>
      </c>
      <c r="E418" s="3" t="str">
        <f xml:space="preserve"> SUBSTITUTE(RIGHT(SUBSTITUTE(Network_Connections[[#This Row],[to]],"_",REPT("*",10)),10),"*","")</f>
        <v>ERP</v>
      </c>
      <c r="F418" s="3" t="str">
        <f>INDEX(Assets[Asset_ID],MATCH(Network_Connections[[#This Row],[From2]],Assets[name],0))</f>
        <v>A00008</v>
      </c>
      <c r="G418" s="3" t="s">
        <v>145</v>
      </c>
      <c r="H418" s="3" t="s">
        <v>144</v>
      </c>
      <c r="I418" s="3">
        <v>1</v>
      </c>
      <c r="J41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"A00018"-&gt;"A00008"@00:("IP", "0-65535");</v>
      </c>
      <c r="K418" s="3" t="str">
        <f>RIGHT(Network_Connections[[#This Row],[port/protocol]],LEN(Network_Connections[[#This Row],[port/protocol]])-FIND("/",Network_Connections[[#This Row],[port/protocol]]))</f>
        <v>0-65535</v>
      </c>
      <c r="L418" s="3">
        <f t="shared" si="7"/>
        <v>0</v>
      </c>
    </row>
    <row r="419" spans="1:12" x14ac:dyDescent="0.2">
      <c r="A419" s="3" t="s">
        <v>153</v>
      </c>
      <c r="B419" s="3" t="str">
        <f xml:space="preserve"> SUBSTITUTE(RIGHT(SUBSTITUTE(Network_Connections[[#This Row],[from]],"_",REPT("*",10)),10),"*","")</f>
        <v>WS3</v>
      </c>
      <c r="C419" s="3" t="str">
        <f>INDEX(Assets[Asset_ID],MATCH(Network_Connections[[#This Row],[From1]],Assets[name],0))</f>
        <v>A00018</v>
      </c>
      <c r="D419" s="3" t="s">
        <v>162</v>
      </c>
      <c r="E419" s="3" t="str">
        <f xml:space="preserve"> SUBSTITUTE(RIGHT(SUBSTITUTE(Network_Connections[[#This Row],[to]],"_",REPT("*",10)),10),"*","")</f>
        <v>Banking</v>
      </c>
      <c r="F419" s="3" t="str">
        <f>INDEX(Assets[Asset_ID],MATCH(Network_Connections[[#This Row],[From2]],Assets[name],0))</f>
        <v>A00009</v>
      </c>
      <c r="G419" s="3" t="s">
        <v>145</v>
      </c>
      <c r="H419" s="3" t="s">
        <v>144</v>
      </c>
      <c r="I419" s="3">
        <v>0</v>
      </c>
      <c r="J41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19" s="3" t="str">
        <f>RIGHT(Network_Connections[[#This Row],[port/protocol]],LEN(Network_Connections[[#This Row],[port/protocol]])-FIND("/",Network_Connections[[#This Row],[port/protocol]]))</f>
        <v>0-65535</v>
      </c>
      <c r="L419" s="3">
        <f t="shared" si="7"/>
        <v>0</v>
      </c>
    </row>
    <row r="420" spans="1:12" x14ac:dyDescent="0.2">
      <c r="A420" s="3" t="s">
        <v>153</v>
      </c>
      <c r="B420" s="3" t="str">
        <f xml:space="preserve"> SUBSTITUTE(RIGHT(SUBSTITUTE(Network_Connections[[#This Row],[from]],"_",REPT("*",10)),10),"*","")</f>
        <v>WS3</v>
      </c>
      <c r="C420" s="3" t="str">
        <f>INDEX(Assets[Asset_ID],MATCH(Network_Connections[[#This Row],[From1]],Assets[name],0))</f>
        <v>A00018</v>
      </c>
      <c r="D420" s="3" t="s">
        <v>161</v>
      </c>
      <c r="E420" s="3" t="str">
        <f xml:space="preserve"> SUBSTITUTE(RIGHT(SUBSTITUTE(Network_Connections[[#This Row],[to]],"_",REPT("*",10)),10),"*","")</f>
        <v>Email</v>
      </c>
      <c r="F420" s="3" t="str">
        <f>INDEX(Assets[Asset_ID],MATCH(Network_Connections[[#This Row],[From2]],Assets[name],0))</f>
        <v>A00010</v>
      </c>
      <c r="G420" s="3" t="s">
        <v>145</v>
      </c>
      <c r="H420" s="3" t="s">
        <v>167</v>
      </c>
      <c r="I420" s="3">
        <v>1</v>
      </c>
      <c r="J42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"A00018"-&gt;"A00010"@00:("TCP", "443");</v>
      </c>
      <c r="K420" s="3" t="str">
        <f>RIGHT(Network_Connections[[#This Row],[port/protocol]],LEN(Network_Connections[[#This Row],[port/protocol]])-FIND("/",Network_Connections[[#This Row],[port/protocol]]))</f>
        <v>443</v>
      </c>
      <c r="L420" s="3">
        <f t="shared" si="7"/>
        <v>0</v>
      </c>
    </row>
    <row r="421" spans="1:12" x14ac:dyDescent="0.2">
      <c r="A421" s="3" t="s">
        <v>153</v>
      </c>
      <c r="B421" s="3" t="str">
        <f xml:space="preserve"> SUBSTITUTE(RIGHT(SUBSTITUTE(Network_Connections[[#This Row],[from]],"_",REPT("*",10)),10),"*","")</f>
        <v>WS3</v>
      </c>
      <c r="C421" s="3" t="str">
        <f>INDEX(Assets[Asset_ID],MATCH(Network_Connections[[#This Row],[From1]],Assets[name],0))</f>
        <v>A00018</v>
      </c>
      <c r="D421" s="3" t="s">
        <v>160</v>
      </c>
      <c r="E421" s="3" t="str">
        <f xml:space="preserve"> SUBSTITUTE(RIGHT(SUBSTITUTE(Network_Connections[[#This Row],[to]],"_",REPT("*",10)),10),"*","")</f>
        <v>WMS</v>
      </c>
      <c r="F421" s="3" t="str">
        <f>INDEX(Assets[Asset_ID],MATCH(Network_Connections[[#This Row],[From2]],Assets[name],0))</f>
        <v>A00011</v>
      </c>
      <c r="G421" s="3" t="s">
        <v>145</v>
      </c>
      <c r="H421" s="3" t="s">
        <v>144</v>
      </c>
      <c r="I421" s="3">
        <v>1</v>
      </c>
      <c r="J42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"A00018"-&gt;"A00011"@00:("IP", "0-65535");</v>
      </c>
      <c r="K421" s="3" t="str">
        <f>RIGHT(Network_Connections[[#This Row],[port/protocol]],LEN(Network_Connections[[#This Row],[port/protocol]])-FIND("/",Network_Connections[[#This Row],[port/protocol]]))</f>
        <v>0-65535</v>
      </c>
      <c r="L421" s="3">
        <f t="shared" si="7"/>
        <v>0</v>
      </c>
    </row>
    <row r="422" spans="1:12" x14ac:dyDescent="0.2">
      <c r="A422" s="3" t="s">
        <v>153</v>
      </c>
      <c r="B422" s="3" t="str">
        <f xml:space="preserve"> SUBSTITUTE(RIGHT(SUBSTITUTE(Network_Connections[[#This Row],[from]],"_",REPT("*",10)),10),"*","")</f>
        <v>WS3</v>
      </c>
      <c r="C422" s="3" t="str">
        <f>INDEX(Assets[Asset_ID],MATCH(Network_Connections[[#This Row],[From1]],Assets[name],0))</f>
        <v>A00018</v>
      </c>
      <c r="D422" s="3" t="s">
        <v>159</v>
      </c>
      <c r="E422" s="3" t="str">
        <f xml:space="preserve"> SUBSTITUTE(RIGHT(SUBSTITUTE(Network_Connections[[#This Row],[to]],"_",REPT("*",10)),10),"*","")</f>
        <v>CRM</v>
      </c>
      <c r="F422" s="3" t="str">
        <f>INDEX(Assets[Asset_ID],MATCH(Network_Connections[[#This Row],[From2]],Assets[name],0))</f>
        <v>A00012</v>
      </c>
      <c r="G422" s="3" t="s">
        <v>145</v>
      </c>
      <c r="H422" s="3" t="s">
        <v>144</v>
      </c>
      <c r="I422" s="3">
        <v>1</v>
      </c>
      <c r="J42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"A00018"-&gt;"A00012"@00:("IP", "0-65535");</v>
      </c>
      <c r="K422" s="3" t="str">
        <f>RIGHT(Network_Connections[[#This Row],[port/protocol]],LEN(Network_Connections[[#This Row],[port/protocol]])-FIND("/",Network_Connections[[#This Row],[port/protocol]]))</f>
        <v>0-65535</v>
      </c>
      <c r="L422" s="3">
        <f t="shared" si="7"/>
        <v>0</v>
      </c>
    </row>
    <row r="423" spans="1:12" x14ac:dyDescent="0.2">
      <c r="A423" s="3" t="s">
        <v>153</v>
      </c>
      <c r="B423" s="3" t="str">
        <f xml:space="preserve"> SUBSTITUTE(RIGHT(SUBSTITUTE(Network_Connections[[#This Row],[from]],"_",REPT("*",10)),10),"*","")</f>
        <v>WS3</v>
      </c>
      <c r="C423" s="3" t="str">
        <f>INDEX(Assets[Asset_ID],MATCH(Network_Connections[[#This Row],[From1]],Assets[name],0))</f>
        <v>A00018</v>
      </c>
      <c r="D423" s="3" t="s">
        <v>158</v>
      </c>
      <c r="E423" s="3" t="str">
        <f xml:space="preserve"> SUBSTITUTE(RIGHT(SUBSTITUTE(Network_Connections[[#This Row],[to]],"_",REPT("*",10)),10),"*","")</f>
        <v>WIFI1</v>
      </c>
      <c r="F423" s="3" t="str">
        <f>INDEX(Assets[Asset_ID],MATCH(Network_Connections[[#This Row],[From2]],Assets[name],0))</f>
        <v>A00013</v>
      </c>
      <c r="G423" s="3" t="s">
        <v>145</v>
      </c>
      <c r="H423" s="3" t="s">
        <v>144</v>
      </c>
      <c r="I423" s="3">
        <v>1</v>
      </c>
      <c r="J42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"A00018"-&gt;"A00013"@00:("IP", "0-65535");</v>
      </c>
      <c r="K423" s="3" t="str">
        <f>RIGHT(Network_Connections[[#This Row],[port/protocol]],LEN(Network_Connections[[#This Row],[port/protocol]])-FIND("/",Network_Connections[[#This Row],[port/protocol]]))</f>
        <v>0-65535</v>
      </c>
      <c r="L423" s="3">
        <f t="shared" si="7"/>
        <v>0</v>
      </c>
    </row>
    <row r="424" spans="1:12" x14ac:dyDescent="0.2">
      <c r="A424" s="3" t="s">
        <v>153</v>
      </c>
      <c r="B424" s="3" t="str">
        <f xml:space="preserve"> SUBSTITUTE(RIGHT(SUBSTITUTE(Network_Connections[[#This Row],[from]],"_",REPT("*",10)),10),"*","")</f>
        <v>WS3</v>
      </c>
      <c r="C424" s="3" t="str">
        <f>INDEX(Assets[Asset_ID],MATCH(Network_Connections[[#This Row],[From1]],Assets[name],0))</f>
        <v>A00018</v>
      </c>
      <c r="D424" s="3" t="s">
        <v>157</v>
      </c>
      <c r="E424" s="3" t="str">
        <f xml:space="preserve"> SUBSTITUTE(RIGHT(SUBSTITUTE(Network_Connections[[#This Row],[to]],"_",REPT("*",10)),10),"*","")</f>
        <v>WS1</v>
      </c>
      <c r="F424" s="3" t="str">
        <f>INDEX(Assets[Asset_ID],MATCH(Network_Connections[[#This Row],[From2]],Assets[name],0))</f>
        <v>A00014</v>
      </c>
      <c r="G424" s="3" t="s">
        <v>145</v>
      </c>
      <c r="H424" s="3" t="s">
        <v>144</v>
      </c>
      <c r="I424" s="3">
        <v>1</v>
      </c>
      <c r="J42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"A00018"-&gt;"A00014"@00:("IP", "0-65535");</v>
      </c>
      <c r="K424" s="3" t="str">
        <f>RIGHT(Network_Connections[[#This Row],[port/protocol]],LEN(Network_Connections[[#This Row],[port/protocol]])-FIND("/",Network_Connections[[#This Row],[port/protocol]]))</f>
        <v>0-65535</v>
      </c>
      <c r="L424" s="3">
        <f t="shared" si="7"/>
        <v>0</v>
      </c>
    </row>
    <row r="425" spans="1:12" x14ac:dyDescent="0.2">
      <c r="A425" s="3" t="s">
        <v>153</v>
      </c>
      <c r="B425" s="3" t="str">
        <f xml:space="preserve"> SUBSTITUTE(RIGHT(SUBSTITUTE(Network_Connections[[#This Row],[from]],"_",REPT("*",10)),10),"*","")</f>
        <v>WS3</v>
      </c>
      <c r="C425" s="3" t="str">
        <f>INDEX(Assets[Asset_ID],MATCH(Network_Connections[[#This Row],[From1]],Assets[name],0))</f>
        <v>A00018</v>
      </c>
      <c r="D425" s="3" t="s">
        <v>156</v>
      </c>
      <c r="E425" s="3" t="str">
        <f xml:space="preserve"> SUBSTITUTE(RIGHT(SUBSTITUTE(Network_Connections[[#This Row],[to]],"_",REPT("*",10)),10),"*","")</f>
        <v>FW3</v>
      </c>
      <c r="F425" s="3" t="str">
        <f>INDEX(Assets[Asset_ID],MATCH(Network_Connections[[#This Row],[From2]],Assets[name],0))</f>
        <v>A00015</v>
      </c>
      <c r="G425" s="3" t="s">
        <v>145</v>
      </c>
      <c r="H425" s="3" t="s">
        <v>144</v>
      </c>
      <c r="I425" s="3">
        <v>1</v>
      </c>
      <c r="J42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"A00018"-&gt;"A00015"@00:("IP", "0-65535");</v>
      </c>
      <c r="K425" s="3" t="str">
        <f>RIGHT(Network_Connections[[#This Row],[port/protocol]],LEN(Network_Connections[[#This Row],[port/protocol]])-FIND("/",Network_Connections[[#This Row],[port/protocol]]))</f>
        <v>0-65535</v>
      </c>
      <c r="L425" s="3">
        <f t="shared" si="7"/>
        <v>0</v>
      </c>
    </row>
    <row r="426" spans="1:12" x14ac:dyDescent="0.2">
      <c r="A426" s="3" t="s">
        <v>153</v>
      </c>
      <c r="B426" s="3" t="str">
        <f xml:space="preserve"> SUBSTITUTE(RIGHT(SUBSTITUTE(Network_Connections[[#This Row],[from]],"_",REPT("*",10)),10),"*","")</f>
        <v>WS3</v>
      </c>
      <c r="C426" s="3" t="str">
        <f>INDEX(Assets[Asset_ID],MATCH(Network_Connections[[#This Row],[From1]],Assets[name],0))</f>
        <v>A00018</v>
      </c>
      <c r="D426" s="3" t="s">
        <v>155</v>
      </c>
      <c r="E426" s="3" t="str">
        <f xml:space="preserve"> SUBSTITUTE(RIGHT(SUBSTITUTE(Network_Connections[[#This Row],[to]],"_",REPT("*",10)),10),"*","")</f>
        <v>SW2</v>
      </c>
      <c r="F426" s="3" t="str">
        <f>INDEX(Assets[Asset_ID],MATCH(Network_Connections[[#This Row],[From2]],Assets[name],0))</f>
        <v>A00016</v>
      </c>
      <c r="G426" s="3" t="s">
        <v>145</v>
      </c>
      <c r="H426" s="3" t="s">
        <v>144</v>
      </c>
      <c r="I426" s="3">
        <v>1</v>
      </c>
      <c r="J42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"A00018"-&gt;"A00016"@00:("IP", "0-65535");</v>
      </c>
      <c r="K426" s="3" t="str">
        <f>RIGHT(Network_Connections[[#This Row],[port/protocol]],LEN(Network_Connections[[#This Row],[port/protocol]])-FIND("/",Network_Connections[[#This Row],[port/protocol]]))</f>
        <v>0-65535</v>
      </c>
      <c r="L426" s="3">
        <f t="shared" si="7"/>
        <v>0</v>
      </c>
    </row>
    <row r="427" spans="1:12" x14ac:dyDescent="0.2">
      <c r="A427" s="3" t="s">
        <v>153</v>
      </c>
      <c r="B427" s="3" t="str">
        <f xml:space="preserve"> SUBSTITUTE(RIGHT(SUBSTITUTE(Network_Connections[[#This Row],[from]],"_",REPT("*",10)),10),"*","")</f>
        <v>WS3</v>
      </c>
      <c r="C427" s="3" t="str">
        <f>INDEX(Assets[Asset_ID],MATCH(Network_Connections[[#This Row],[From1]],Assets[name],0))</f>
        <v>A00018</v>
      </c>
      <c r="D427" s="3" t="s">
        <v>154</v>
      </c>
      <c r="E427" s="3" t="str">
        <f xml:space="preserve"> SUBSTITUTE(RIGHT(SUBSTITUTE(Network_Connections[[#This Row],[to]],"_",REPT("*",10)),10),"*","")</f>
        <v>WS2</v>
      </c>
      <c r="F427" s="3" t="str">
        <f>INDEX(Assets[Asset_ID],MATCH(Network_Connections[[#This Row],[From2]],Assets[name],0))</f>
        <v>A00017</v>
      </c>
      <c r="G427" s="3" t="s">
        <v>145</v>
      </c>
      <c r="H427" s="3" t="s">
        <v>144</v>
      </c>
      <c r="I427" s="3">
        <v>1</v>
      </c>
      <c r="J42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"A00018"-&gt;"A00017"@00:("IP", "0-65535");</v>
      </c>
      <c r="K427" s="3" t="str">
        <f>RIGHT(Network_Connections[[#This Row],[port/protocol]],LEN(Network_Connections[[#This Row],[port/protocol]])-FIND("/",Network_Connections[[#This Row],[port/protocol]]))</f>
        <v>0-65535</v>
      </c>
      <c r="L427" s="3">
        <f t="shared" si="7"/>
        <v>0</v>
      </c>
    </row>
    <row r="428" spans="1:12" x14ac:dyDescent="0.2">
      <c r="A428" s="3" t="s">
        <v>153</v>
      </c>
      <c r="B428" s="3" t="str">
        <f xml:space="preserve"> SUBSTITUTE(RIGHT(SUBSTITUTE(Network_Connections[[#This Row],[from]],"_",REPT("*",10)),10),"*","")</f>
        <v>WS3</v>
      </c>
      <c r="C428" s="3" t="str">
        <f>INDEX(Assets[Asset_ID],MATCH(Network_Connections[[#This Row],[From1]],Assets[name],0))</f>
        <v>A00018</v>
      </c>
      <c r="D428" s="3" t="s">
        <v>152</v>
      </c>
      <c r="E428" s="3" t="str">
        <f xml:space="preserve"> SUBSTITUTE(RIGHT(SUBSTITUTE(Network_Connections[[#This Row],[to]],"_",REPT("*",10)),10),"*","")</f>
        <v>WS4</v>
      </c>
      <c r="F428" s="3" t="str">
        <f>INDEX(Assets[Asset_ID],MATCH(Network_Connections[[#This Row],[From2]],Assets[name],0))</f>
        <v>A00019</v>
      </c>
      <c r="G428" s="3" t="s">
        <v>145</v>
      </c>
      <c r="H428" s="3" t="s">
        <v>144</v>
      </c>
      <c r="I428" s="3">
        <v>1</v>
      </c>
      <c r="J42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"A00018"-&gt;"A00019"@00:("IP", "0-65535");</v>
      </c>
      <c r="K428" s="3" t="str">
        <f>RIGHT(Network_Connections[[#This Row],[port/protocol]],LEN(Network_Connections[[#This Row],[port/protocol]])-FIND("/",Network_Connections[[#This Row],[port/protocol]]))</f>
        <v>0-65535</v>
      </c>
      <c r="L428" s="3">
        <f t="shared" si="7"/>
        <v>0</v>
      </c>
    </row>
    <row r="429" spans="1:12" x14ac:dyDescent="0.2">
      <c r="A429" s="3" t="s">
        <v>153</v>
      </c>
      <c r="B429" s="3" t="str">
        <f xml:space="preserve"> SUBSTITUTE(RIGHT(SUBSTITUTE(Network_Connections[[#This Row],[from]],"_",REPT("*",10)),10),"*","")</f>
        <v>WS3</v>
      </c>
      <c r="C429" s="3" t="str">
        <f>INDEX(Assets[Asset_ID],MATCH(Network_Connections[[#This Row],[From1]],Assets[name],0))</f>
        <v>A00018</v>
      </c>
      <c r="D429" s="3" t="s">
        <v>151</v>
      </c>
      <c r="E429" s="3" t="str">
        <f xml:space="preserve"> SUBSTITUTE(RIGHT(SUBSTITUTE(Network_Connections[[#This Row],[to]],"_",REPT("*",10)),10),"*","")</f>
        <v>FW4</v>
      </c>
      <c r="F429" s="3" t="str">
        <f>INDEX(Assets[Asset_ID],MATCH(Network_Connections[[#This Row],[From2]],Assets[name],0))</f>
        <v>A00020</v>
      </c>
      <c r="G429" s="3" t="s">
        <v>145</v>
      </c>
      <c r="H429" s="3" t="s">
        <v>144</v>
      </c>
      <c r="I429" s="3">
        <v>1</v>
      </c>
      <c r="J42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"A00018"-&gt;"A00020"@00:("IP", "0-65535");</v>
      </c>
      <c r="K429" s="3" t="str">
        <f>RIGHT(Network_Connections[[#This Row],[port/protocol]],LEN(Network_Connections[[#This Row],[port/protocol]])-FIND("/",Network_Connections[[#This Row],[port/protocol]]))</f>
        <v>0-65535</v>
      </c>
      <c r="L429" s="3">
        <f t="shared" si="7"/>
        <v>0</v>
      </c>
    </row>
    <row r="430" spans="1:12" x14ac:dyDescent="0.2">
      <c r="A430" s="3" t="s">
        <v>153</v>
      </c>
      <c r="B430" s="3" t="str">
        <f xml:space="preserve"> SUBSTITUTE(RIGHT(SUBSTITUTE(Network_Connections[[#This Row],[from]],"_",REPT("*",10)),10),"*","")</f>
        <v>WS3</v>
      </c>
      <c r="C430" s="3" t="str">
        <f>INDEX(Assets[Asset_ID],MATCH(Network_Connections[[#This Row],[From1]],Assets[name],0))</f>
        <v>A00018</v>
      </c>
      <c r="D430" s="3" t="s">
        <v>150</v>
      </c>
      <c r="E430" s="3" t="str">
        <f xml:space="preserve"> SUBSTITUTE(RIGHT(SUBSTITUTE(Network_Connections[[#This Row],[to]],"_",REPT("*",10)),10),"*","")</f>
        <v>WIFI2</v>
      </c>
      <c r="F430" s="3" t="str">
        <f>INDEX(Assets[Asset_ID],MATCH(Network_Connections[[#This Row],[From2]],Assets[name],0))</f>
        <v>A00021</v>
      </c>
      <c r="G430" s="3" t="s">
        <v>145</v>
      </c>
      <c r="H430" s="3" t="s">
        <v>144</v>
      </c>
      <c r="I430" s="3">
        <v>1</v>
      </c>
      <c r="J43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"A00018"-&gt;"A00021"@00:("IP", "0-65535");</v>
      </c>
      <c r="K430" s="3" t="str">
        <f>RIGHT(Network_Connections[[#This Row],[port/protocol]],LEN(Network_Connections[[#This Row],[port/protocol]])-FIND("/",Network_Connections[[#This Row],[port/protocol]]))</f>
        <v>0-65535</v>
      </c>
      <c r="L430" s="3">
        <f t="shared" si="7"/>
        <v>0</v>
      </c>
    </row>
    <row r="431" spans="1:12" x14ac:dyDescent="0.2">
      <c r="A431" s="3" t="s">
        <v>153</v>
      </c>
      <c r="B431" s="3" t="str">
        <f xml:space="preserve"> SUBSTITUTE(RIGHT(SUBSTITUTE(Network_Connections[[#This Row],[from]],"_",REPT("*",10)),10),"*","")</f>
        <v>WS3</v>
      </c>
      <c r="C431" s="3" t="str">
        <f>INDEX(Assets[Asset_ID],MATCH(Network_Connections[[#This Row],[From1]],Assets[name],0))</f>
        <v>A00018</v>
      </c>
      <c r="D431" s="3" t="s">
        <v>149</v>
      </c>
      <c r="E431" s="3" t="str">
        <f xml:space="preserve"> SUBSTITUTE(RIGHT(SUBSTITUTE(Network_Connections[[#This Row],[to]],"_",REPT("*",10)),10),"*","")</f>
        <v>WS5</v>
      </c>
      <c r="F431" s="3" t="str">
        <f>INDEX(Assets[Asset_ID],MATCH(Network_Connections[[#This Row],[From2]],Assets[name],0))</f>
        <v>A00022</v>
      </c>
      <c r="G431" s="3" t="s">
        <v>145</v>
      </c>
      <c r="H431" s="3" t="s">
        <v>144</v>
      </c>
      <c r="I431" s="3">
        <v>1</v>
      </c>
      <c r="J43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"A00018"-&gt;"A00022"@00:("IP", "0-65535");</v>
      </c>
      <c r="K431" s="3" t="str">
        <f>RIGHT(Network_Connections[[#This Row],[port/protocol]],LEN(Network_Connections[[#This Row],[port/protocol]])-FIND("/",Network_Connections[[#This Row],[port/protocol]]))</f>
        <v>0-65535</v>
      </c>
      <c r="L431" s="3">
        <f t="shared" si="7"/>
        <v>0</v>
      </c>
    </row>
    <row r="432" spans="1:12" x14ac:dyDescent="0.2">
      <c r="A432" s="3" t="s">
        <v>153</v>
      </c>
      <c r="B432" s="3" t="str">
        <f xml:space="preserve"> SUBSTITUTE(RIGHT(SUBSTITUTE(Network_Connections[[#This Row],[from]],"_",REPT("*",10)),10),"*","")</f>
        <v>WS3</v>
      </c>
      <c r="C432" s="3" t="str">
        <f>INDEX(Assets[Asset_ID],MATCH(Network_Connections[[#This Row],[From1]],Assets[name],0))</f>
        <v>A00018</v>
      </c>
      <c r="D432" s="3" t="s">
        <v>148</v>
      </c>
      <c r="E432" s="3" t="str">
        <f xml:space="preserve"> SUBSTITUTE(RIGHT(SUBSTITUTE(Network_Connections[[#This Row],[to]],"_",REPT("*",10)),10),"*","")</f>
        <v>WS6</v>
      </c>
      <c r="F432" s="3" t="str">
        <f>INDEX(Assets[Asset_ID],MATCH(Network_Connections[[#This Row],[From2]],Assets[name],0))</f>
        <v>A00023</v>
      </c>
      <c r="G432" s="3" t="s">
        <v>145</v>
      </c>
      <c r="H432" s="3" t="s">
        <v>144</v>
      </c>
      <c r="I432" s="3">
        <v>0</v>
      </c>
      <c r="J43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32" s="3" t="str">
        <f>RIGHT(Network_Connections[[#This Row],[port/protocol]],LEN(Network_Connections[[#This Row],[port/protocol]])-FIND("/",Network_Connections[[#This Row],[port/protocol]]))</f>
        <v>0-65535</v>
      </c>
      <c r="L432" s="3">
        <f t="shared" si="7"/>
        <v>0</v>
      </c>
    </row>
    <row r="433" spans="1:12" x14ac:dyDescent="0.2">
      <c r="A433" s="3" t="s">
        <v>153</v>
      </c>
      <c r="B433" s="3" t="str">
        <f xml:space="preserve"> SUBSTITUTE(RIGHT(SUBSTITUTE(Network_Connections[[#This Row],[from]],"_",REPT("*",10)),10),"*","")</f>
        <v>WS3</v>
      </c>
      <c r="C433" s="3" t="str">
        <f>INDEX(Assets[Asset_ID],MATCH(Network_Connections[[#This Row],[From1]],Assets[name],0))</f>
        <v>A00018</v>
      </c>
      <c r="D433" s="3" t="s">
        <v>146</v>
      </c>
      <c r="E433" s="3" t="str">
        <f xml:space="preserve"> SUBSTITUTE(RIGHT(SUBSTITUTE(Network_Connections[[#This Row],[to]],"_",REPT("*",10)),10),"*","")</f>
        <v>WS7</v>
      </c>
      <c r="F433" s="3" t="str">
        <f>INDEX(Assets[Asset_ID],MATCH(Network_Connections[[#This Row],[From2]],Assets[name],0))</f>
        <v>A00024</v>
      </c>
      <c r="G433" s="3" t="s">
        <v>145</v>
      </c>
      <c r="H433" s="3" t="s">
        <v>144</v>
      </c>
      <c r="I433" s="3">
        <v>0</v>
      </c>
      <c r="J43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33" s="3" t="str">
        <f>RIGHT(Network_Connections[[#This Row],[port/protocol]],LEN(Network_Connections[[#This Row],[port/protocol]])-FIND("/",Network_Connections[[#This Row],[port/protocol]]))</f>
        <v>0-65535</v>
      </c>
      <c r="L433" s="3">
        <f t="shared" si="7"/>
        <v>0</v>
      </c>
    </row>
    <row r="434" spans="1:12" x14ac:dyDescent="0.2">
      <c r="A434" s="3" t="s">
        <v>153</v>
      </c>
      <c r="B434" s="3" t="str">
        <f xml:space="preserve"> SUBSTITUTE(RIGHT(SUBSTITUTE(Network_Connections[[#This Row],[from]],"_",REPT("*",10)),10),"*","")</f>
        <v>WS3</v>
      </c>
      <c r="C434" s="3" t="str">
        <f>INDEX(Assets[Asset_ID],MATCH(Network_Connections[[#This Row],[From1]],Assets[name],0))</f>
        <v>A00018</v>
      </c>
      <c r="D434" s="3" t="s">
        <v>147</v>
      </c>
      <c r="E434" s="3" t="str">
        <f xml:space="preserve"> SUBSTITUTE(RIGHT(SUBSTITUTE(Network_Connections[[#This Row],[to]],"_",REPT("*",10)),10),"*","")</f>
        <v>WS8</v>
      </c>
      <c r="F434" s="3" t="str">
        <f>INDEX(Assets[Asset_ID],MATCH(Network_Connections[[#This Row],[From2]],Assets[name],0))</f>
        <v>A00025</v>
      </c>
      <c r="G434" s="3" t="s">
        <v>145</v>
      </c>
      <c r="H434" s="3" t="s">
        <v>144</v>
      </c>
      <c r="I434" s="3">
        <v>0</v>
      </c>
      <c r="J43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34" s="3" t="str">
        <f>RIGHT(Network_Connections[[#This Row],[port/protocol]],LEN(Network_Connections[[#This Row],[port/protocol]])-FIND("/",Network_Connections[[#This Row],[port/protocol]]))</f>
        <v>0-65535</v>
      </c>
      <c r="L434" s="3">
        <f t="shared" si="7"/>
        <v>0</v>
      </c>
    </row>
    <row r="435" spans="1:12" x14ac:dyDescent="0.2">
      <c r="A435" s="3" t="s">
        <v>152</v>
      </c>
      <c r="B435" s="3" t="str">
        <f xml:space="preserve"> SUBSTITUTE(RIGHT(SUBSTITUTE(Network_Connections[[#This Row],[from]],"_",REPT("*",10)),10),"*","")</f>
        <v>WS4</v>
      </c>
      <c r="C435" s="3" t="str">
        <f>INDEX(Assets[Asset_ID],MATCH(Network_Connections[[#This Row],[From1]],Assets[name],0))</f>
        <v>A00019</v>
      </c>
      <c r="D435" s="3" t="s">
        <v>171</v>
      </c>
      <c r="E435" s="3" t="str">
        <f xml:space="preserve"> SUBSTITUTE(RIGHT(SUBSTITUTE(Network_Connections[[#This Row],[to]],"_",REPT("*",10)),10),"*","")</f>
        <v>FW1</v>
      </c>
      <c r="F435" s="3" t="str">
        <f>INDEX(Assets[Asset_ID],MATCH(Network_Connections[[#This Row],[From2]],Assets[name],0))</f>
        <v>A00001</v>
      </c>
      <c r="G435" s="3" t="s">
        <v>145</v>
      </c>
      <c r="H435" s="3" t="s">
        <v>144</v>
      </c>
      <c r="I435" s="3">
        <v>0</v>
      </c>
      <c r="J43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35" s="3" t="str">
        <f>RIGHT(Network_Connections[[#This Row],[port/protocol]],LEN(Network_Connections[[#This Row],[port/protocol]])-FIND("/",Network_Connections[[#This Row],[port/protocol]]))</f>
        <v>0-65535</v>
      </c>
      <c r="L435" s="3">
        <f t="shared" si="7"/>
        <v>0</v>
      </c>
    </row>
    <row r="436" spans="1:12" x14ac:dyDescent="0.2">
      <c r="A436" s="3" t="s">
        <v>152</v>
      </c>
      <c r="B436" s="3" t="str">
        <f xml:space="preserve"> SUBSTITUTE(RIGHT(SUBSTITUTE(Network_Connections[[#This Row],[from]],"_",REPT("*",10)),10),"*","")</f>
        <v>WS4</v>
      </c>
      <c r="C436" s="3" t="str">
        <f>INDEX(Assets[Asset_ID],MATCH(Network_Connections[[#This Row],[From1]],Assets[name],0))</f>
        <v>A00019</v>
      </c>
      <c r="D436" s="3" t="s">
        <v>170</v>
      </c>
      <c r="E436" s="3" t="str">
        <f xml:space="preserve"> SUBSTITUTE(RIGHT(SUBSTITUTE(Network_Connections[[#This Row],[to]],"_",REPT("*",10)),10),"*","")</f>
        <v>VPNSRV</v>
      </c>
      <c r="F436" s="3" t="str">
        <f>INDEX(Assets[Asset_ID],MATCH(Network_Connections[[#This Row],[From2]],Assets[name],0))</f>
        <v>A00002</v>
      </c>
      <c r="G436" s="3" t="s">
        <v>145</v>
      </c>
      <c r="H436" s="3" t="s">
        <v>144</v>
      </c>
      <c r="I436" s="3">
        <v>0</v>
      </c>
      <c r="J43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36" s="3" t="str">
        <f>RIGHT(Network_Connections[[#This Row],[port/protocol]],LEN(Network_Connections[[#This Row],[port/protocol]])-FIND("/",Network_Connections[[#This Row],[port/protocol]]))</f>
        <v>0-65535</v>
      </c>
      <c r="L436" s="3">
        <f t="shared" si="7"/>
        <v>0</v>
      </c>
    </row>
    <row r="437" spans="1:12" x14ac:dyDescent="0.2">
      <c r="A437" s="3" t="s">
        <v>152</v>
      </c>
      <c r="B437" s="3" t="str">
        <f xml:space="preserve"> SUBSTITUTE(RIGHT(SUBSTITUTE(Network_Connections[[#This Row],[from]],"_",REPT("*",10)),10),"*","")</f>
        <v>WS4</v>
      </c>
      <c r="C437" s="3" t="str">
        <f>INDEX(Assets[Asset_ID],MATCH(Network_Connections[[#This Row],[From1]],Assets[name],0))</f>
        <v>A00019</v>
      </c>
      <c r="D437" s="3" t="s">
        <v>169</v>
      </c>
      <c r="E437" s="3" t="str">
        <f xml:space="preserve"> SUBSTITUTE(RIGHT(SUBSTITUTE(Network_Connections[[#This Row],[to]],"_",REPT("*",10)),10),"*","")</f>
        <v>WebSRV1</v>
      </c>
      <c r="F437" s="3" t="str">
        <f>INDEX(Assets[Asset_ID],MATCH(Network_Connections[[#This Row],[From2]],Assets[name],0))</f>
        <v>A00003</v>
      </c>
      <c r="G437" s="3" t="s">
        <v>145</v>
      </c>
      <c r="H437" s="3" t="s">
        <v>167</v>
      </c>
      <c r="I437" s="3">
        <v>1</v>
      </c>
      <c r="J43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"A00019"-&gt;"A00003"@00:("TCP", "443");</v>
      </c>
      <c r="K437" s="3" t="str">
        <f>RIGHT(Network_Connections[[#This Row],[port/protocol]],LEN(Network_Connections[[#This Row],[port/protocol]])-FIND("/",Network_Connections[[#This Row],[port/protocol]]))</f>
        <v>443</v>
      </c>
      <c r="L437" s="3">
        <f t="shared" si="7"/>
        <v>0</v>
      </c>
    </row>
    <row r="438" spans="1:12" x14ac:dyDescent="0.2">
      <c r="A438" s="3" t="s">
        <v>152</v>
      </c>
      <c r="B438" s="3" t="str">
        <f xml:space="preserve"> SUBSTITUTE(RIGHT(SUBSTITUTE(Network_Connections[[#This Row],[from]],"_",REPT("*",10)),10),"*","")</f>
        <v>WS4</v>
      </c>
      <c r="C438" s="3" t="str">
        <f>INDEX(Assets[Asset_ID],MATCH(Network_Connections[[#This Row],[From1]],Assets[name],0))</f>
        <v>A00019</v>
      </c>
      <c r="D438" s="3" t="s">
        <v>168</v>
      </c>
      <c r="E438" s="3" t="str">
        <f xml:space="preserve"> SUBSTITUTE(RIGHT(SUBSTITUTE(Network_Connections[[#This Row],[to]],"_",REPT("*",10)),10),"*","")</f>
        <v>WebSRV2</v>
      </c>
      <c r="F438" s="3" t="str">
        <f>INDEX(Assets[Asset_ID],MATCH(Network_Connections[[#This Row],[From2]],Assets[name],0))</f>
        <v>A00004</v>
      </c>
      <c r="G438" s="3" t="s">
        <v>145</v>
      </c>
      <c r="H438" s="3" t="s">
        <v>167</v>
      </c>
      <c r="I438" s="3">
        <v>1</v>
      </c>
      <c r="J43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"A00019"-&gt;"A00004"@00:("TCP", "443");</v>
      </c>
      <c r="K438" s="3" t="str">
        <f>RIGHT(Network_Connections[[#This Row],[port/protocol]],LEN(Network_Connections[[#This Row],[port/protocol]])-FIND("/",Network_Connections[[#This Row],[port/protocol]]))</f>
        <v>443</v>
      </c>
      <c r="L438" s="3">
        <f t="shared" si="7"/>
        <v>0</v>
      </c>
    </row>
    <row r="439" spans="1:12" x14ac:dyDescent="0.2">
      <c r="A439" s="3" t="s">
        <v>152</v>
      </c>
      <c r="B439" s="3" t="str">
        <f xml:space="preserve"> SUBSTITUTE(RIGHT(SUBSTITUTE(Network_Connections[[#This Row],[from]],"_",REPT("*",10)),10),"*","")</f>
        <v>WS4</v>
      </c>
      <c r="C439" s="3" t="str">
        <f>INDEX(Assets[Asset_ID],MATCH(Network_Connections[[#This Row],[From1]],Assets[name],0))</f>
        <v>A00019</v>
      </c>
      <c r="D439" s="3" t="s">
        <v>166</v>
      </c>
      <c r="E439" s="3" t="str">
        <f xml:space="preserve"> SUBSTITUTE(RIGHT(SUBSTITUTE(Network_Connections[[#This Row],[to]],"_",REPT("*",10)),10),"*","")</f>
        <v>FW2</v>
      </c>
      <c r="F439" s="3" t="str">
        <f>INDEX(Assets[Asset_ID],MATCH(Network_Connections[[#This Row],[From2]],Assets[name],0))</f>
        <v>A00005</v>
      </c>
      <c r="G439" s="3" t="s">
        <v>145</v>
      </c>
      <c r="H439" s="3" t="s">
        <v>144</v>
      </c>
      <c r="I439" s="3">
        <v>0</v>
      </c>
      <c r="J43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39" s="3" t="str">
        <f>RIGHT(Network_Connections[[#This Row],[port/protocol]],LEN(Network_Connections[[#This Row],[port/protocol]])-FIND("/",Network_Connections[[#This Row],[port/protocol]]))</f>
        <v>0-65535</v>
      </c>
      <c r="L439" s="3">
        <f t="shared" si="7"/>
        <v>0</v>
      </c>
    </row>
    <row r="440" spans="1:12" x14ac:dyDescent="0.2">
      <c r="A440" s="3" t="s">
        <v>152</v>
      </c>
      <c r="B440" s="3" t="str">
        <f xml:space="preserve"> SUBSTITUTE(RIGHT(SUBSTITUTE(Network_Connections[[#This Row],[from]],"_",REPT("*",10)),10),"*","")</f>
        <v>WS4</v>
      </c>
      <c r="C440" s="3" t="str">
        <f>INDEX(Assets[Asset_ID],MATCH(Network_Connections[[#This Row],[From1]],Assets[name],0))</f>
        <v>A00019</v>
      </c>
      <c r="D440" s="3" t="s">
        <v>165</v>
      </c>
      <c r="E440" s="3" t="str">
        <f xml:space="preserve"> SUBSTITUTE(RIGHT(SUBSTITUTE(Network_Connections[[#This Row],[to]],"_",REPT("*",10)),10),"*","")</f>
        <v>SW1</v>
      </c>
      <c r="F440" s="3" t="str">
        <f>INDEX(Assets[Asset_ID],MATCH(Network_Connections[[#This Row],[From2]],Assets[name],0))</f>
        <v>A00006</v>
      </c>
      <c r="G440" s="3" t="s">
        <v>145</v>
      </c>
      <c r="H440" s="3" t="s">
        <v>144</v>
      </c>
      <c r="I440" s="3">
        <v>0</v>
      </c>
      <c r="J44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40" s="3" t="str">
        <f>RIGHT(Network_Connections[[#This Row],[port/protocol]],LEN(Network_Connections[[#This Row],[port/protocol]])-FIND("/",Network_Connections[[#This Row],[port/protocol]]))</f>
        <v>0-65535</v>
      </c>
      <c r="L440" s="3">
        <f t="shared" si="7"/>
        <v>0</v>
      </c>
    </row>
    <row r="441" spans="1:12" x14ac:dyDescent="0.2">
      <c r="A441" s="3" t="s">
        <v>152</v>
      </c>
      <c r="B441" s="3" t="str">
        <f xml:space="preserve"> SUBSTITUTE(RIGHT(SUBSTITUTE(Network_Connections[[#This Row],[from]],"_",REPT("*",10)),10),"*","")</f>
        <v>WS4</v>
      </c>
      <c r="C441" s="3" t="str">
        <f>INDEX(Assets[Asset_ID],MATCH(Network_Connections[[#This Row],[From1]],Assets[name],0))</f>
        <v>A00019</v>
      </c>
      <c r="D441" s="3" t="s">
        <v>164</v>
      </c>
      <c r="E441" s="3" t="str">
        <f xml:space="preserve"> SUBSTITUTE(RIGHT(SUBSTITUTE(Network_Connections[[#This Row],[to]],"_",REPT("*",10)),10),"*","")</f>
        <v>AD</v>
      </c>
      <c r="F441" s="3" t="str">
        <f>INDEX(Assets[Asset_ID],MATCH(Network_Connections[[#This Row],[From2]],Assets[name],0))</f>
        <v>A00007</v>
      </c>
      <c r="G441" s="3" t="s">
        <v>145</v>
      </c>
      <c r="H441" s="3" t="s">
        <v>144</v>
      </c>
      <c r="I441" s="3">
        <v>1</v>
      </c>
      <c r="J44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"A00019"-&gt;"A00007"@00:("IP", "0-65535");</v>
      </c>
      <c r="K441" s="3" t="str">
        <f>RIGHT(Network_Connections[[#This Row],[port/protocol]],LEN(Network_Connections[[#This Row],[port/protocol]])-FIND("/",Network_Connections[[#This Row],[port/protocol]]))</f>
        <v>0-65535</v>
      </c>
      <c r="L441" s="3">
        <f t="shared" si="7"/>
        <v>0</v>
      </c>
    </row>
    <row r="442" spans="1:12" x14ac:dyDescent="0.2">
      <c r="A442" s="3" t="s">
        <v>152</v>
      </c>
      <c r="B442" s="3" t="str">
        <f xml:space="preserve"> SUBSTITUTE(RIGHT(SUBSTITUTE(Network_Connections[[#This Row],[from]],"_",REPT("*",10)),10),"*","")</f>
        <v>WS4</v>
      </c>
      <c r="C442" s="3" t="str">
        <f>INDEX(Assets[Asset_ID],MATCH(Network_Connections[[#This Row],[From1]],Assets[name],0))</f>
        <v>A00019</v>
      </c>
      <c r="D442" s="3" t="s">
        <v>163</v>
      </c>
      <c r="E442" s="3" t="str">
        <f xml:space="preserve"> SUBSTITUTE(RIGHT(SUBSTITUTE(Network_Connections[[#This Row],[to]],"_",REPT("*",10)),10),"*","")</f>
        <v>ERP</v>
      </c>
      <c r="F442" s="3" t="str">
        <f>INDEX(Assets[Asset_ID],MATCH(Network_Connections[[#This Row],[From2]],Assets[name],0))</f>
        <v>A00008</v>
      </c>
      <c r="G442" s="3" t="s">
        <v>145</v>
      </c>
      <c r="H442" s="3" t="s">
        <v>144</v>
      </c>
      <c r="I442" s="3">
        <v>1</v>
      </c>
      <c r="J44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"A00019"-&gt;"A00008"@00:("IP", "0-65535");</v>
      </c>
      <c r="K442" s="3" t="str">
        <f>RIGHT(Network_Connections[[#This Row],[port/protocol]],LEN(Network_Connections[[#This Row],[port/protocol]])-FIND("/",Network_Connections[[#This Row],[port/protocol]]))</f>
        <v>0-65535</v>
      </c>
      <c r="L442" s="3">
        <f t="shared" si="7"/>
        <v>0</v>
      </c>
    </row>
    <row r="443" spans="1:12" x14ac:dyDescent="0.2">
      <c r="A443" s="3" t="s">
        <v>152</v>
      </c>
      <c r="B443" s="3" t="str">
        <f xml:space="preserve"> SUBSTITUTE(RIGHT(SUBSTITUTE(Network_Connections[[#This Row],[from]],"_",REPT("*",10)),10),"*","")</f>
        <v>WS4</v>
      </c>
      <c r="C443" s="3" t="str">
        <f>INDEX(Assets[Asset_ID],MATCH(Network_Connections[[#This Row],[From1]],Assets[name],0))</f>
        <v>A00019</v>
      </c>
      <c r="D443" s="3" t="s">
        <v>162</v>
      </c>
      <c r="E443" s="3" t="str">
        <f xml:space="preserve"> SUBSTITUTE(RIGHT(SUBSTITUTE(Network_Connections[[#This Row],[to]],"_",REPT("*",10)),10),"*","")</f>
        <v>Banking</v>
      </c>
      <c r="F443" s="3" t="str">
        <f>INDEX(Assets[Asset_ID],MATCH(Network_Connections[[#This Row],[From2]],Assets[name],0))</f>
        <v>A00009</v>
      </c>
      <c r="G443" s="3" t="s">
        <v>145</v>
      </c>
      <c r="H443" s="3" t="s">
        <v>172</v>
      </c>
      <c r="I443" s="3">
        <v>1</v>
      </c>
      <c r="J44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"A00019"-&gt;"A00009"@00:("TCP", "3389");</v>
      </c>
      <c r="K443" s="3" t="str">
        <f>RIGHT(Network_Connections[[#This Row],[port/protocol]],LEN(Network_Connections[[#This Row],[port/protocol]])-FIND("/",Network_Connections[[#This Row],[port/protocol]]))</f>
        <v>3389</v>
      </c>
      <c r="L443" s="3">
        <f t="shared" si="7"/>
        <v>0</v>
      </c>
    </row>
    <row r="444" spans="1:12" x14ac:dyDescent="0.2">
      <c r="A444" s="3" t="s">
        <v>152</v>
      </c>
      <c r="B444" s="3" t="str">
        <f xml:space="preserve"> SUBSTITUTE(RIGHT(SUBSTITUTE(Network_Connections[[#This Row],[from]],"_",REPT("*",10)),10),"*","")</f>
        <v>WS4</v>
      </c>
      <c r="C444" s="3" t="str">
        <f>INDEX(Assets[Asset_ID],MATCH(Network_Connections[[#This Row],[From1]],Assets[name],0))</f>
        <v>A00019</v>
      </c>
      <c r="D444" s="3" t="s">
        <v>161</v>
      </c>
      <c r="E444" s="3" t="str">
        <f xml:space="preserve"> SUBSTITUTE(RIGHT(SUBSTITUTE(Network_Connections[[#This Row],[to]],"_",REPT("*",10)),10),"*","")</f>
        <v>Email</v>
      </c>
      <c r="F444" s="3" t="str">
        <f>INDEX(Assets[Asset_ID],MATCH(Network_Connections[[#This Row],[From2]],Assets[name],0))</f>
        <v>A00010</v>
      </c>
      <c r="G444" s="3" t="s">
        <v>145</v>
      </c>
      <c r="H444" s="3" t="s">
        <v>167</v>
      </c>
      <c r="I444" s="3">
        <v>1</v>
      </c>
      <c r="J44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"A00019"-&gt;"A00010"@00:("TCP", "443");</v>
      </c>
      <c r="K444" s="3" t="str">
        <f>RIGHT(Network_Connections[[#This Row],[port/protocol]],LEN(Network_Connections[[#This Row],[port/protocol]])-FIND("/",Network_Connections[[#This Row],[port/protocol]]))</f>
        <v>443</v>
      </c>
      <c r="L444" s="3">
        <f t="shared" si="7"/>
        <v>0</v>
      </c>
    </row>
    <row r="445" spans="1:12" x14ac:dyDescent="0.2">
      <c r="A445" s="3" t="s">
        <v>152</v>
      </c>
      <c r="B445" s="3" t="str">
        <f xml:space="preserve"> SUBSTITUTE(RIGHT(SUBSTITUTE(Network_Connections[[#This Row],[from]],"_",REPT("*",10)),10),"*","")</f>
        <v>WS4</v>
      </c>
      <c r="C445" s="3" t="str">
        <f>INDEX(Assets[Asset_ID],MATCH(Network_Connections[[#This Row],[From1]],Assets[name],0))</f>
        <v>A00019</v>
      </c>
      <c r="D445" s="3" t="s">
        <v>160</v>
      </c>
      <c r="E445" s="3" t="str">
        <f xml:space="preserve"> SUBSTITUTE(RIGHT(SUBSTITUTE(Network_Connections[[#This Row],[to]],"_",REPT("*",10)),10),"*","")</f>
        <v>WMS</v>
      </c>
      <c r="F445" s="3" t="str">
        <f>INDEX(Assets[Asset_ID],MATCH(Network_Connections[[#This Row],[From2]],Assets[name],0))</f>
        <v>A00011</v>
      </c>
      <c r="G445" s="3" t="s">
        <v>145</v>
      </c>
      <c r="H445" s="3" t="s">
        <v>144</v>
      </c>
      <c r="I445" s="3">
        <v>0</v>
      </c>
      <c r="J44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45" s="3" t="str">
        <f>RIGHT(Network_Connections[[#This Row],[port/protocol]],LEN(Network_Connections[[#This Row],[port/protocol]])-FIND("/",Network_Connections[[#This Row],[port/protocol]]))</f>
        <v>0-65535</v>
      </c>
      <c r="L445" s="3">
        <f t="shared" si="7"/>
        <v>0</v>
      </c>
    </row>
    <row r="446" spans="1:12" x14ac:dyDescent="0.2">
      <c r="A446" s="3" t="s">
        <v>152</v>
      </c>
      <c r="B446" s="3" t="str">
        <f xml:space="preserve"> SUBSTITUTE(RIGHT(SUBSTITUTE(Network_Connections[[#This Row],[from]],"_",REPT("*",10)),10),"*","")</f>
        <v>WS4</v>
      </c>
      <c r="C446" s="3" t="str">
        <f>INDEX(Assets[Asset_ID],MATCH(Network_Connections[[#This Row],[From1]],Assets[name],0))</f>
        <v>A00019</v>
      </c>
      <c r="D446" s="3" t="s">
        <v>159</v>
      </c>
      <c r="E446" s="3" t="str">
        <f xml:space="preserve"> SUBSTITUTE(RIGHT(SUBSTITUTE(Network_Connections[[#This Row],[to]],"_",REPT("*",10)),10),"*","")</f>
        <v>CRM</v>
      </c>
      <c r="F446" s="3" t="str">
        <f>INDEX(Assets[Asset_ID],MATCH(Network_Connections[[#This Row],[From2]],Assets[name],0))</f>
        <v>A00012</v>
      </c>
      <c r="G446" s="3" t="s">
        <v>145</v>
      </c>
      <c r="H446" s="3" t="s">
        <v>167</v>
      </c>
      <c r="I446" s="3">
        <v>1</v>
      </c>
      <c r="J44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"A00019"-&gt;"A00012"@00:("TCP", "443");</v>
      </c>
      <c r="K446" s="3" t="str">
        <f>RIGHT(Network_Connections[[#This Row],[port/protocol]],LEN(Network_Connections[[#This Row],[port/protocol]])-FIND("/",Network_Connections[[#This Row],[port/protocol]]))</f>
        <v>443</v>
      </c>
      <c r="L446" s="3">
        <f t="shared" si="7"/>
        <v>0</v>
      </c>
    </row>
    <row r="447" spans="1:12" x14ac:dyDescent="0.2">
      <c r="A447" s="3" t="s">
        <v>152</v>
      </c>
      <c r="B447" s="3" t="str">
        <f xml:space="preserve"> SUBSTITUTE(RIGHT(SUBSTITUTE(Network_Connections[[#This Row],[from]],"_",REPT("*",10)),10),"*","")</f>
        <v>WS4</v>
      </c>
      <c r="C447" s="3" t="str">
        <f>INDEX(Assets[Asset_ID],MATCH(Network_Connections[[#This Row],[From1]],Assets[name],0))</f>
        <v>A00019</v>
      </c>
      <c r="D447" s="3" t="s">
        <v>158</v>
      </c>
      <c r="E447" s="3" t="str">
        <f xml:space="preserve"> SUBSTITUTE(RIGHT(SUBSTITUTE(Network_Connections[[#This Row],[to]],"_",REPT("*",10)),10),"*","")</f>
        <v>WIFI1</v>
      </c>
      <c r="F447" s="3" t="str">
        <f>INDEX(Assets[Asset_ID],MATCH(Network_Connections[[#This Row],[From2]],Assets[name],0))</f>
        <v>A00013</v>
      </c>
      <c r="G447" s="3" t="s">
        <v>145</v>
      </c>
      <c r="H447" s="3" t="s">
        <v>144</v>
      </c>
      <c r="I447" s="3">
        <v>0</v>
      </c>
      <c r="J44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47" s="3" t="str">
        <f>RIGHT(Network_Connections[[#This Row],[port/protocol]],LEN(Network_Connections[[#This Row],[port/protocol]])-FIND("/",Network_Connections[[#This Row],[port/protocol]]))</f>
        <v>0-65535</v>
      </c>
      <c r="L447" s="3">
        <f t="shared" si="7"/>
        <v>0</v>
      </c>
    </row>
    <row r="448" spans="1:12" x14ac:dyDescent="0.2">
      <c r="A448" s="3" t="s">
        <v>152</v>
      </c>
      <c r="B448" s="3" t="str">
        <f xml:space="preserve"> SUBSTITUTE(RIGHT(SUBSTITUTE(Network_Connections[[#This Row],[from]],"_",REPT("*",10)),10),"*","")</f>
        <v>WS4</v>
      </c>
      <c r="C448" s="3" t="str">
        <f>INDEX(Assets[Asset_ID],MATCH(Network_Connections[[#This Row],[From1]],Assets[name],0))</f>
        <v>A00019</v>
      </c>
      <c r="D448" s="3" t="s">
        <v>157</v>
      </c>
      <c r="E448" s="3" t="str">
        <f xml:space="preserve"> SUBSTITUTE(RIGHT(SUBSTITUTE(Network_Connections[[#This Row],[to]],"_",REPT("*",10)),10),"*","")</f>
        <v>WS1</v>
      </c>
      <c r="F448" s="3" t="str">
        <f>INDEX(Assets[Asset_ID],MATCH(Network_Connections[[#This Row],[From2]],Assets[name],0))</f>
        <v>A00014</v>
      </c>
      <c r="G448" s="3" t="s">
        <v>145</v>
      </c>
      <c r="H448" s="3" t="s">
        <v>144</v>
      </c>
      <c r="I448" s="3">
        <v>0</v>
      </c>
      <c r="J44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48" s="3" t="str">
        <f>RIGHT(Network_Connections[[#This Row],[port/protocol]],LEN(Network_Connections[[#This Row],[port/protocol]])-FIND("/",Network_Connections[[#This Row],[port/protocol]]))</f>
        <v>0-65535</v>
      </c>
      <c r="L448" s="3">
        <f t="shared" si="7"/>
        <v>0</v>
      </c>
    </row>
    <row r="449" spans="1:12" x14ac:dyDescent="0.2">
      <c r="A449" s="3" t="s">
        <v>152</v>
      </c>
      <c r="B449" s="3" t="str">
        <f xml:space="preserve"> SUBSTITUTE(RIGHT(SUBSTITUTE(Network_Connections[[#This Row],[from]],"_",REPT("*",10)),10),"*","")</f>
        <v>WS4</v>
      </c>
      <c r="C449" s="3" t="str">
        <f>INDEX(Assets[Asset_ID],MATCH(Network_Connections[[#This Row],[From1]],Assets[name],0))</f>
        <v>A00019</v>
      </c>
      <c r="D449" s="3" t="s">
        <v>156</v>
      </c>
      <c r="E449" s="3" t="str">
        <f xml:space="preserve"> SUBSTITUTE(RIGHT(SUBSTITUTE(Network_Connections[[#This Row],[to]],"_",REPT("*",10)),10),"*","")</f>
        <v>FW3</v>
      </c>
      <c r="F449" s="3" t="str">
        <f>INDEX(Assets[Asset_ID],MATCH(Network_Connections[[#This Row],[From2]],Assets[name],0))</f>
        <v>A00015</v>
      </c>
      <c r="G449" s="3" t="s">
        <v>145</v>
      </c>
      <c r="H449" s="3" t="s">
        <v>144</v>
      </c>
      <c r="I449" s="3">
        <v>0</v>
      </c>
      <c r="J44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49" s="3" t="str">
        <f>RIGHT(Network_Connections[[#This Row],[port/protocol]],LEN(Network_Connections[[#This Row],[port/protocol]])-FIND("/",Network_Connections[[#This Row],[port/protocol]]))</f>
        <v>0-65535</v>
      </c>
      <c r="L449" s="3">
        <f t="shared" si="7"/>
        <v>0</v>
      </c>
    </row>
    <row r="450" spans="1:12" x14ac:dyDescent="0.2">
      <c r="A450" s="3" t="s">
        <v>152</v>
      </c>
      <c r="B450" s="3" t="str">
        <f xml:space="preserve"> SUBSTITUTE(RIGHT(SUBSTITUTE(Network_Connections[[#This Row],[from]],"_",REPT("*",10)),10),"*","")</f>
        <v>WS4</v>
      </c>
      <c r="C450" s="3" t="str">
        <f>INDEX(Assets[Asset_ID],MATCH(Network_Connections[[#This Row],[From1]],Assets[name],0))</f>
        <v>A00019</v>
      </c>
      <c r="D450" s="3" t="s">
        <v>155</v>
      </c>
      <c r="E450" s="3" t="str">
        <f xml:space="preserve"> SUBSTITUTE(RIGHT(SUBSTITUTE(Network_Connections[[#This Row],[to]],"_",REPT("*",10)),10),"*","")</f>
        <v>SW2</v>
      </c>
      <c r="F450" s="3" t="str">
        <f>INDEX(Assets[Asset_ID],MATCH(Network_Connections[[#This Row],[From2]],Assets[name],0))</f>
        <v>A00016</v>
      </c>
      <c r="G450" s="3" t="s">
        <v>145</v>
      </c>
      <c r="H450" s="3" t="s">
        <v>144</v>
      </c>
      <c r="I450" s="3">
        <v>0</v>
      </c>
      <c r="J45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0" s="3" t="str">
        <f>RIGHT(Network_Connections[[#This Row],[port/protocol]],LEN(Network_Connections[[#This Row],[port/protocol]])-FIND("/",Network_Connections[[#This Row],[port/protocol]]))</f>
        <v>0-65535</v>
      </c>
      <c r="L450" s="3">
        <f t="shared" ref="L450:L513" si="8">IF(AND(C450=C449, F450=F449), L449+1, 0)</f>
        <v>0</v>
      </c>
    </row>
    <row r="451" spans="1:12" x14ac:dyDescent="0.2">
      <c r="A451" s="3" t="s">
        <v>152</v>
      </c>
      <c r="B451" s="3" t="str">
        <f xml:space="preserve"> SUBSTITUTE(RIGHT(SUBSTITUTE(Network_Connections[[#This Row],[from]],"_",REPT("*",10)),10),"*","")</f>
        <v>WS4</v>
      </c>
      <c r="C451" s="3" t="str">
        <f>INDEX(Assets[Asset_ID],MATCH(Network_Connections[[#This Row],[From1]],Assets[name],0))</f>
        <v>A00019</v>
      </c>
      <c r="D451" s="3" t="s">
        <v>154</v>
      </c>
      <c r="E451" s="3" t="str">
        <f xml:space="preserve"> SUBSTITUTE(RIGHT(SUBSTITUTE(Network_Connections[[#This Row],[to]],"_",REPT("*",10)),10),"*","")</f>
        <v>WS2</v>
      </c>
      <c r="F451" s="3" t="str">
        <f>INDEX(Assets[Asset_ID],MATCH(Network_Connections[[#This Row],[From2]],Assets[name],0))</f>
        <v>A00017</v>
      </c>
      <c r="G451" s="3" t="s">
        <v>145</v>
      </c>
      <c r="H451" s="3" t="s">
        <v>144</v>
      </c>
      <c r="I451" s="3">
        <v>0</v>
      </c>
      <c r="J45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1" s="3" t="str">
        <f>RIGHT(Network_Connections[[#This Row],[port/protocol]],LEN(Network_Connections[[#This Row],[port/protocol]])-FIND("/",Network_Connections[[#This Row],[port/protocol]]))</f>
        <v>0-65535</v>
      </c>
      <c r="L451" s="3">
        <f t="shared" si="8"/>
        <v>0</v>
      </c>
    </row>
    <row r="452" spans="1:12" x14ac:dyDescent="0.2">
      <c r="A452" s="3" t="s">
        <v>152</v>
      </c>
      <c r="B452" s="3" t="str">
        <f xml:space="preserve"> SUBSTITUTE(RIGHT(SUBSTITUTE(Network_Connections[[#This Row],[from]],"_",REPT("*",10)),10),"*","")</f>
        <v>WS4</v>
      </c>
      <c r="C452" s="3" t="str">
        <f>INDEX(Assets[Asset_ID],MATCH(Network_Connections[[#This Row],[From1]],Assets[name],0))</f>
        <v>A00019</v>
      </c>
      <c r="D452" s="3" t="s">
        <v>153</v>
      </c>
      <c r="E452" s="3" t="str">
        <f xml:space="preserve"> SUBSTITUTE(RIGHT(SUBSTITUTE(Network_Connections[[#This Row],[to]],"_",REPT("*",10)),10),"*","")</f>
        <v>WS3</v>
      </c>
      <c r="F452" s="3" t="str">
        <f>INDEX(Assets[Asset_ID],MATCH(Network_Connections[[#This Row],[From2]],Assets[name],0))</f>
        <v>A00018</v>
      </c>
      <c r="G452" s="3" t="s">
        <v>145</v>
      </c>
      <c r="H452" s="3" t="s">
        <v>144</v>
      </c>
      <c r="I452" s="3">
        <v>0</v>
      </c>
      <c r="J45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2" s="3" t="str">
        <f>RIGHT(Network_Connections[[#This Row],[port/protocol]],LEN(Network_Connections[[#This Row],[port/protocol]])-FIND("/",Network_Connections[[#This Row],[port/protocol]]))</f>
        <v>0-65535</v>
      </c>
      <c r="L452" s="3">
        <f t="shared" si="8"/>
        <v>0</v>
      </c>
    </row>
    <row r="453" spans="1:12" x14ac:dyDescent="0.2">
      <c r="A453" s="3" t="s">
        <v>152</v>
      </c>
      <c r="B453" s="3" t="str">
        <f xml:space="preserve"> SUBSTITUTE(RIGHT(SUBSTITUTE(Network_Connections[[#This Row],[from]],"_",REPT("*",10)),10),"*","")</f>
        <v>WS4</v>
      </c>
      <c r="C453" s="3" t="str">
        <f>INDEX(Assets[Asset_ID],MATCH(Network_Connections[[#This Row],[From1]],Assets[name],0))</f>
        <v>A00019</v>
      </c>
      <c r="D453" s="3" t="s">
        <v>151</v>
      </c>
      <c r="E453" s="3" t="str">
        <f xml:space="preserve"> SUBSTITUTE(RIGHT(SUBSTITUTE(Network_Connections[[#This Row],[to]],"_",REPT("*",10)),10),"*","")</f>
        <v>FW4</v>
      </c>
      <c r="F453" s="3" t="str">
        <f>INDEX(Assets[Asset_ID],MATCH(Network_Connections[[#This Row],[From2]],Assets[name],0))</f>
        <v>A00020</v>
      </c>
      <c r="G453" s="3" t="s">
        <v>145</v>
      </c>
      <c r="H453" s="3" t="s">
        <v>144</v>
      </c>
      <c r="I453" s="3">
        <v>0</v>
      </c>
      <c r="J45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3" s="3" t="str">
        <f>RIGHT(Network_Connections[[#This Row],[port/protocol]],LEN(Network_Connections[[#This Row],[port/protocol]])-FIND("/",Network_Connections[[#This Row],[port/protocol]]))</f>
        <v>0-65535</v>
      </c>
      <c r="L453" s="3">
        <f t="shared" si="8"/>
        <v>0</v>
      </c>
    </row>
    <row r="454" spans="1:12" x14ac:dyDescent="0.2">
      <c r="A454" s="3" t="s">
        <v>152</v>
      </c>
      <c r="B454" s="3" t="str">
        <f xml:space="preserve"> SUBSTITUTE(RIGHT(SUBSTITUTE(Network_Connections[[#This Row],[from]],"_",REPT("*",10)),10),"*","")</f>
        <v>WS4</v>
      </c>
      <c r="C454" s="3" t="str">
        <f>INDEX(Assets[Asset_ID],MATCH(Network_Connections[[#This Row],[From1]],Assets[name],0))</f>
        <v>A00019</v>
      </c>
      <c r="D454" s="3" t="s">
        <v>150</v>
      </c>
      <c r="E454" s="3" t="str">
        <f xml:space="preserve"> SUBSTITUTE(RIGHT(SUBSTITUTE(Network_Connections[[#This Row],[to]],"_",REPT("*",10)),10),"*","")</f>
        <v>WIFI2</v>
      </c>
      <c r="F454" s="3" t="str">
        <f>INDEX(Assets[Asset_ID],MATCH(Network_Connections[[#This Row],[From2]],Assets[name],0))</f>
        <v>A00021</v>
      </c>
      <c r="G454" s="3" t="s">
        <v>145</v>
      </c>
      <c r="H454" s="3" t="s">
        <v>144</v>
      </c>
      <c r="I454" s="3">
        <v>0</v>
      </c>
      <c r="J45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4" s="3" t="str">
        <f>RIGHT(Network_Connections[[#This Row],[port/protocol]],LEN(Network_Connections[[#This Row],[port/protocol]])-FIND("/",Network_Connections[[#This Row],[port/protocol]]))</f>
        <v>0-65535</v>
      </c>
      <c r="L454" s="3">
        <f t="shared" si="8"/>
        <v>0</v>
      </c>
    </row>
    <row r="455" spans="1:12" x14ac:dyDescent="0.2">
      <c r="A455" s="3" t="s">
        <v>152</v>
      </c>
      <c r="B455" s="3" t="str">
        <f xml:space="preserve"> SUBSTITUTE(RIGHT(SUBSTITUTE(Network_Connections[[#This Row],[from]],"_",REPT("*",10)),10),"*","")</f>
        <v>WS4</v>
      </c>
      <c r="C455" s="3" t="str">
        <f>INDEX(Assets[Asset_ID],MATCH(Network_Connections[[#This Row],[From1]],Assets[name],0))</f>
        <v>A00019</v>
      </c>
      <c r="D455" s="3" t="s">
        <v>149</v>
      </c>
      <c r="E455" s="3" t="str">
        <f xml:space="preserve"> SUBSTITUTE(RIGHT(SUBSTITUTE(Network_Connections[[#This Row],[to]],"_",REPT("*",10)),10),"*","")</f>
        <v>WS5</v>
      </c>
      <c r="F455" s="3" t="str">
        <f>INDEX(Assets[Asset_ID],MATCH(Network_Connections[[#This Row],[From2]],Assets[name],0))</f>
        <v>A00022</v>
      </c>
      <c r="G455" s="3" t="s">
        <v>145</v>
      </c>
      <c r="H455" s="3" t="s">
        <v>144</v>
      </c>
      <c r="I455" s="3">
        <v>0</v>
      </c>
      <c r="J45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5" s="3" t="str">
        <f>RIGHT(Network_Connections[[#This Row],[port/protocol]],LEN(Network_Connections[[#This Row],[port/protocol]])-FIND("/",Network_Connections[[#This Row],[port/protocol]]))</f>
        <v>0-65535</v>
      </c>
      <c r="L455" s="3">
        <f t="shared" si="8"/>
        <v>0</v>
      </c>
    </row>
    <row r="456" spans="1:12" x14ac:dyDescent="0.2">
      <c r="A456" s="3" t="s">
        <v>152</v>
      </c>
      <c r="B456" s="3" t="str">
        <f xml:space="preserve"> SUBSTITUTE(RIGHT(SUBSTITUTE(Network_Connections[[#This Row],[from]],"_",REPT("*",10)),10),"*","")</f>
        <v>WS4</v>
      </c>
      <c r="C456" s="3" t="str">
        <f>INDEX(Assets[Asset_ID],MATCH(Network_Connections[[#This Row],[From1]],Assets[name],0))</f>
        <v>A00019</v>
      </c>
      <c r="D456" s="3" t="s">
        <v>148</v>
      </c>
      <c r="E456" s="3" t="str">
        <f xml:space="preserve"> SUBSTITUTE(RIGHT(SUBSTITUTE(Network_Connections[[#This Row],[to]],"_",REPT("*",10)),10),"*","")</f>
        <v>WS6</v>
      </c>
      <c r="F456" s="3" t="str">
        <f>INDEX(Assets[Asset_ID],MATCH(Network_Connections[[#This Row],[From2]],Assets[name],0))</f>
        <v>A00023</v>
      </c>
      <c r="G456" s="3" t="s">
        <v>145</v>
      </c>
      <c r="H456" s="3" t="s">
        <v>144</v>
      </c>
      <c r="I456" s="3">
        <v>0</v>
      </c>
      <c r="J45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6" s="3" t="str">
        <f>RIGHT(Network_Connections[[#This Row],[port/protocol]],LEN(Network_Connections[[#This Row],[port/protocol]])-FIND("/",Network_Connections[[#This Row],[port/protocol]]))</f>
        <v>0-65535</v>
      </c>
      <c r="L456" s="3">
        <f t="shared" si="8"/>
        <v>0</v>
      </c>
    </row>
    <row r="457" spans="1:12" x14ac:dyDescent="0.2">
      <c r="A457" s="3" t="s">
        <v>152</v>
      </c>
      <c r="B457" s="3" t="str">
        <f xml:space="preserve"> SUBSTITUTE(RIGHT(SUBSTITUTE(Network_Connections[[#This Row],[from]],"_",REPT("*",10)),10),"*","")</f>
        <v>WS4</v>
      </c>
      <c r="C457" s="3" t="str">
        <f>INDEX(Assets[Asset_ID],MATCH(Network_Connections[[#This Row],[From1]],Assets[name],0))</f>
        <v>A00019</v>
      </c>
      <c r="D457" s="3" t="s">
        <v>146</v>
      </c>
      <c r="E457" s="3" t="str">
        <f xml:space="preserve"> SUBSTITUTE(RIGHT(SUBSTITUTE(Network_Connections[[#This Row],[to]],"_",REPT("*",10)),10),"*","")</f>
        <v>WS7</v>
      </c>
      <c r="F457" s="3" t="str">
        <f>INDEX(Assets[Asset_ID],MATCH(Network_Connections[[#This Row],[From2]],Assets[name],0))</f>
        <v>A00024</v>
      </c>
      <c r="G457" s="3" t="s">
        <v>145</v>
      </c>
      <c r="H457" s="3" t="s">
        <v>144</v>
      </c>
      <c r="I457" s="3">
        <v>0</v>
      </c>
      <c r="J45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7" s="3" t="str">
        <f>RIGHT(Network_Connections[[#This Row],[port/protocol]],LEN(Network_Connections[[#This Row],[port/protocol]])-FIND("/",Network_Connections[[#This Row],[port/protocol]]))</f>
        <v>0-65535</v>
      </c>
      <c r="L457" s="3">
        <f t="shared" si="8"/>
        <v>0</v>
      </c>
    </row>
    <row r="458" spans="1:12" x14ac:dyDescent="0.2">
      <c r="A458" s="3" t="s">
        <v>152</v>
      </c>
      <c r="B458" s="3" t="str">
        <f xml:space="preserve"> SUBSTITUTE(RIGHT(SUBSTITUTE(Network_Connections[[#This Row],[from]],"_",REPT("*",10)),10),"*","")</f>
        <v>WS4</v>
      </c>
      <c r="C458" s="3" t="str">
        <f>INDEX(Assets[Asset_ID],MATCH(Network_Connections[[#This Row],[From1]],Assets[name],0))</f>
        <v>A00019</v>
      </c>
      <c r="D458" s="3" t="s">
        <v>147</v>
      </c>
      <c r="E458" s="3" t="str">
        <f xml:space="preserve"> SUBSTITUTE(RIGHT(SUBSTITUTE(Network_Connections[[#This Row],[to]],"_",REPT("*",10)),10),"*","")</f>
        <v>WS8</v>
      </c>
      <c r="F458" s="3" t="str">
        <f>INDEX(Assets[Asset_ID],MATCH(Network_Connections[[#This Row],[From2]],Assets[name],0))</f>
        <v>A00025</v>
      </c>
      <c r="G458" s="3" t="s">
        <v>145</v>
      </c>
      <c r="H458" s="3" t="s">
        <v>144</v>
      </c>
      <c r="I458" s="3">
        <v>0</v>
      </c>
      <c r="J45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8" s="3" t="str">
        <f>RIGHT(Network_Connections[[#This Row],[port/protocol]],LEN(Network_Connections[[#This Row],[port/protocol]])-FIND("/",Network_Connections[[#This Row],[port/protocol]]))</f>
        <v>0-65535</v>
      </c>
      <c r="L458" s="3">
        <f t="shared" si="8"/>
        <v>0</v>
      </c>
    </row>
    <row r="459" spans="1:12" x14ac:dyDescent="0.2">
      <c r="A459" s="3" t="s">
        <v>151</v>
      </c>
      <c r="B459" s="3" t="str">
        <f xml:space="preserve"> SUBSTITUTE(RIGHT(SUBSTITUTE(Network_Connections[[#This Row],[from]],"_",REPT("*",10)),10),"*","")</f>
        <v>FW4</v>
      </c>
      <c r="C459" s="3" t="str">
        <f>INDEX(Assets[Asset_ID],MATCH(Network_Connections[[#This Row],[From1]],Assets[name],0))</f>
        <v>A00020</v>
      </c>
      <c r="D459" s="3" t="s">
        <v>171</v>
      </c>
      <c r="E459" s="3" t="str">
        <f xml:space="preserve"> SUBSTITUTE(RIGHT(SUBSTITUTE(Network_Connections[[#This Row],[to]],"_",REPT("*",10)),10),"*","")</f>
        <v>FW1</v>
      </c>
      <c r="F459" s="3" t="str">
        <f>INDEX(Assets[Asset_ID],MATCH(Network_Connections[[#This Row],[From2]],Assets[name],0))</f>
        <v>A00001</v>
      </c>
      <c r="G459" s="3" t="s">
        <v>145</v>
      </c>
      <c r="H459" s="3" t="s">
        <v>144</v>
      </c>
      <c r="I459" s="3">
        <v>0</v>
      </c>
      <c r="J45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59" s="3" t="str">
        <f>RIGHT(Network_Connections[[#This Row],[port/protocol]],LEN(Network_Connections[[#This Row],[port/protocol]])-FIND("/",Network_Connections[[#This Row],[port/protocol]]))</f>
        <v>0-65535</v>
      </c>
      <c r="L459" s="3">
        <f t="shared" si="8"/>
        <v>0</v>
      </c>
    </row>
    <row r="460" spans="1:12" x14ac:dyDescent="0.2">
      <c r="A460" s="3" t="s">
        <v>151</v>
      </c>
      <c r="B460" s="3" t="str">
        <f xml:space="preserve"> SUBSTITUTE(RIGHT(SUBSTITUTE(Network_Connections[[#This Row],[from]],"_",REPT("*",10)),10),"*","")</f>
        <v>FW4</v>
      </c>
      <c r="C460" s="3" t="str">
        <f>INDEX(Assets[Asset_ID],MATCH(Network_Connections[[#This Row],[From1]],Assets[name],0))</f>
        <v>A00020</v>
      </c>
      <c r="D460" s="3" t="s">
        <v>170</v>
      </c>
      <c r="E460" s="3" t="str">
        <f xml:space="preserve"> SUBSTITUTE(RIGHT(SUBSTITUTE(Network_Connections[[#This Row],[to]],"_",REPT("*",10)),10),"*","")</f>
        <v>VPNSRV</v>
      </c>
      <c r="F460" s="3" t="str">
        <f>INDEX(Assets[Asset_ID],MATCH(Network_Connections[[#This Row],[From2]],Assets[name],0))</f>
        <v>A00002</v>
      </c>
      <c r="G460" s="3" t="s">
        <v>145</v>
      </c>
      <c r="H460" s="3" t="s">
        <v>144</v>
      </c>
      <c r="I460" s="3">
        <v>0</v>
      </c>
      <c r="J46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0" s="3" t="str">
        <f>RIGHT(Network_Connections[[#This Row],[port/protocol]],LEN(Network_Connections[[#This Row],[port/protocol]])-FIND("/",Network_Connections[[#This Row],[port/protocol]]))</f>
        <v>0-65535</v>
      </c>
      <c r="L460" s="3">
        <f t="shared" si="8"/>
        <v>0</v>
      </c>
    </row>
    <row r="461" spans="1:12" x14ac:dyDescent="0.2">
      <c r="A461" s="3" t="s">
        <v>151</v>
      </c>
      <c r="B461" s="3" t="str">
        <f xml:space="preserve"> SUBSTITUTE(RIGHT(SUBSTITUTE(Network_Connections[[#This Row],[from]],"_",REPT("*",10)),10),"*","")</f>
        <v>FW4</v>
      </c>
      <c r="C461" s="3" t="str">
        <f>INDEX(Assets[Asset_ID],MATCH(Network_Connections[[#This Row],[From1]],Assets[name],0))</f>
        <v>A00020</v>
      </c>
      <c r="D461" s="3" t="s">
        <v>169</v>
      </c>
      <c r="E461" s="3" t="str">
        <f xml:space="preserve"> SUBSTITUTE(RIGHT(SUBSTITUTE(Network_Connections[[#This Row],[to]],"_",REPT("*",10)),10),"*","")</f>
        <v>WebSRV1</v>
      </c>
      <c r="F461" s="3" t="str">
        <f>INDEX(Assets[Asset_ID],MATCH(Network_Connections[[#This Row],[From2]],Assets[name],0))</f>
        <v>A00003</v>
      </c>
      <c r="G461" s="3" t="s">
        <v>145</v>
      </c>
      <c r="H461" s="3" t="s">
        <v>144</v>
      </c>
      <c r="I461" s="3">
        <v>0</v>
      </c>
      <c r="J46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1" s="3" t="str">
        <f>RIGHT(Network_Connections[[#This Row],[port/protocol]],LEN(Network_Connections[[#This Row],[port/protocol]])-FIND("/",Network_Connections[[#This Row],[port/protocol]]))</f>
        <v>0-65535</v>
      </c>
      <c r="L461" s="3">
        <f t="shared" si="8"/>
        <v>0</v>
      </c>
    </row>
    <row r="462" spans="1:12" x14ac:dyDescent="0.2">
      <c r="A462" s="3" t="s">
        <v>151</v>
      </c>
      <c r="B462" s="3" t="str">
        <f xml:space="preserve"> SUBSTITUTE(RIGHT(SUBSTITUTE(Network_Connections[[#This Row],[from]],"_",REPT("*",10)),10),"*","")</f>
        <v>FW4</v>
      </c>
      <c r="C462" s="3" t="str">
        <f>INDEX(Assets[Asset_ID],MATCH(Network_Connections[[#This Row],[From1]],Assets[name],0))</f>
        <v>A00020</v>
      </c>
      <c r="D462" s="3" t="s">
        <v>168</v>
      </c>
      <c r="E462" s="3" t="str">
        <f xml:space="preserve"> SUBSTITUTE(RIGHT(SUBSTITUTE(Network_Connections[[#This Row],[to]],"_",REPT("*",10)),10),"*","")</f>
        <v>WebSRV2</v>
      </c>
      <c r="F462" s="3" t="str">
        <f>INDEX(Assets[Asset_ID],MATCH(Network_Connections[[#This Row],[From2]],Assets[name],0))</f>
        <v>A00004</v>
      </c>
      <c r="G462" s="3" t="s">
        <v>145</v>
      </c>
      <c r="H462" s="3" t="s">
        <v>144</v>
      </c>
      <c r="I462" s="3">
        <v>0</v>
      </c>
      <c r="J46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2" s="3" t="str">
        <f>RIGHT(Network_Connections[[#This Row],[port/protocol]],LEN(Network_Connections[[#This Row],[port/protocol]])-FIND("/",Network_Connections[[#This Row],[port/protocol]]))</f>
        <v>0-65535</v>
      </c>
      <c r="L462" s="3">
        <f t="shared" si="8"/>
        <v>0</v>
      </c>
    </row>
    <row r="463" spans="1:12" x14ac:dyDescent="0.2">
      <c r="A463" s="3" t="s">
        <v>151</v>
      </c>
      <c r="B463" s="3" t="str">
        <f xml:space="preserve"> SUBSTITUTE(RIGHT(SUBSTITUTE(Network_Connections[[#This Row],[from]],"_",REPT("*",10)),10),"*","")</f>
        <v>FW4</v>
      </c>
      <c r="C463" s="3" t="str">
        <f>INDEX(Assets[Asset_ID],MATCH(Network_Connections[[#This Row],[From1]],Assets[name],0))</f>
        <v>A00020</v>
      </c>
      <c r="D463" s="3" t="s">
        <v>166</v>
      </c>
      <c r="E463" s="3" t="str">
        <f xml:space="preserve"> SUBSTITUTE(RIGHT(SUBSTITUTE(Network_Connections[[#This Row],[to]],"_",REPT("*",10)),10),"*","")</f>
        <v>FW2</v>
      </c>
      <c r="F463" s="3" t="str">
        <f>INDEX(Assets[Asset_ID],MATCH(Network_Connections[[#This Row],[From2]],Assets[name],0))</f>
        <v>A00005</v>
      </c>
      <c r="G463" s="3" t="s">
        <v>145</v>
      </c>
      <c r="H463" s="3" t="s">
        <v>144</v>
      </c>
      <c r="I463" s="3">
        <v>1</v>
      </c>
      <c r="J46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"A00020"-&gt;"A00005"@00:("IP", "0-65535");</v>
      </c>
      <c r="K463" s="3" t="str">
        <f>RIGHT(Network_Connections[[#This Row],[port/protocol]],LEN(Network_Connections[[#This Row],[port/protocol]])-FIND("/",Network_Connections[[#This Row],[port/protocol]]))</f>
        <v>0-65535</v>
      </c>
      <c r="L463" s="3">
        <f t="shared" si="8"/>
        <v>0</v>
      </c>
    </row>
    <row r="464" spans="1:12" x14ac:dyDescent="0.2">
      <c r="A464" s="3" t="s">
        <v>151</v>
      </c>
      <c r="B464" s="3" t="str">
        <f xml:space="preserve"> SUBSTITUTE(RIGHT(SUBSTITUTE(Network_Connections[[#This Row],[from]],"_",REPT("*",10)),10),"*","")</f>
        <v>FW4</v>
      </c>
      <c r="C464" s="3" t="str">
        <f>INDEX(Assets[Asset_ID],MATCH(Network_Connections[[#This Row],[From1]],Assets[name],0))</f>
        <v>A00020</v>
      </c>
      <c r="D464" s="3" t="s">
        <v>165</v>
      </c>
      <c r="E464" s="3" t="str">
        <f xml:space="preserve"> SUBSTITUTE(RIGHT(SUBSTITUTE(Network_Connections[[#This Row],[to]],"_",REPT("*",10)),10),"*","")</f>
        <v>SW1</v>
      </c>
      <c r="F464" s="3" t="str">
        <f>INDEX(Assets[Asset_ID],MATCH(Network_Connections[[#This Row],[From2]],Assets[name],0))</f>
        <v>A00006</v>
      </c>
      <c r="G464" s="3" t="s">
        <v>145</v>
      </c>
      <c r="H464" s="3" t="s">
        <v>144</v>
      </c>
      <c r="I464" s="3">
        <v>0</v>
      </c>
      <c r="J46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4" s="3" t="str">
        <f>RIGHT(Network_Connections[[#This Row],[port/protocol]],LEN(Network_Connections[[#This Row],[port/protocol]])-FIND("/",Network_Connections[[#This Row],[port/protocol]]))</f>
        <v>0-65535</v>
      </c>
      <c r="L464" s="3">
        <f t="shared" si="8"/>
        <v>0</v>
      </c>
    </row>
    <row r="465" spans="1:12" x14ac:dyDescent="0.2">
      <c r="A465" s="3" t="s">
        <v>151</v>
      </c>
      <c r="B465" s="3" t="str">
        <f xml:space="preserve"> SUBSTITUTE(RIGHT(SUBSTITUTE(Network_Connections[[#This Row],[from]],"_",REPT("*",10)),10),"*","")</f>
        <v>FW4</v>
      </c>
      <c r="C465" s="3" t="str">
        <f>INDEX(Assets[Asset_ID],MATCH(Network_Connections[[#This Row],[From1]],Assets[name],0))</f>
        <v>A00020</v>
      </c>
      <c r="D465" s="3" t="s">
        <v>164</v>
      </c>
      <c r="E465" s="3" t="str">
        <f xml:space="preserve"> SUBSTITUTE(RIGHT(SUBSTITUTE(Network_Connections[[#This Row],[to]],"_",REPT("*",10)),10),"*","")</f>
        <v>AD</v>
      </c>
      <c r="F465" s="3" t="str">
        <f>INDEX(Assets[Asset_ID],MATCH(Network_Connections[[#This Row],[From2]],Assets[name],0))</f>
        <v>A00007</v>
      </c>
      <c r="G465" s="3" t="s">
        <v>145</v>
      </c>
      <c r="H465" s="3" t="s">
        <v>144</v>
      </c>
      <c r="I465" s="3">
        <v>0</v>
      </c>
      <c r="J46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5" s="3" t="str">
        <f>RIGHT(Network_Connections[[#This Row],[port/protocol]],LEN(Network_Connections[[#This Row],[port/protocol]])-FIND("/",Network_Connections[[#This Row],[port/protocol]]))</f>
        <v>0-65535</v>
      </c>
      <c r="L465" s="3">
        <f t="shared" si="8"/>
        <v>0</v>
      </c>
    </row>
    <row r="466" spans="1:12" x14ac:dyDescent="0.2">
      <c r="A466" s="3" t="s">
        <v>151</v>
      </c>
      <c r="B466" s="3" t="str">
        <f xml:space="preserve"> SUBSTITUTE(RIGHT(SUBSTITUTE(Network_Connections[[#This Row],[from]],"_",REPT("*",10)),10),"*","")</f>
        <v>FW4</v>
      </c>
      <c r="C466" s="3" t="str">
        <f>INDEX(Assets[Asset_ID],MATCH(Network_Connections[[#This Row],[From1]],Assets[name],0))</f>
        <v>A00020</v>
      </c>
      <c r="D466" s="3" t="s">
        <v>163</v>
      </c>
      <c r="E466" s="3" t="str">
        <f xml:space="preserve"> SUBSTITUTE(RIGHT(SUBSTITUTE(Network_Connections[[#This Row],[to]],"_",REPT("*",10)),10),"*","")</f>
        <v>ERP</v>
      </c>
      <c r="F466" s="3" t="str">
        <f>INDEX(Assets[Asset_ID],MATCH(Network_Connections[[#This Row],[From2]],Assets[name],0))</f>
        <v>A00008</v>
      </c>
      <c r="G466" s="3" t="s">
        <v>145</v>
      </c>
      <c r="H466" s="3" t="s">
        <v>144</v>
      </c>
      <c r="I466" s="3">
        <v>0</v>
      </c>
      <c r="J46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6" s="3" t="str">
        <f>RIGHT(Network_Connections[[#This Row],[port/protocol]],LEN(Network_Connections[[#This Row],[port/protocol]])-FIND("/",Network_Connections[[#This Row],[port/protocol]]))</f>
        <v>0-65535</v>
      </c>
      <c r="L466" s="3">
        <f t="shared" si="8"/>
        <v>0</v>
      </c>
    </row>
    <row r="467" spans="1:12" x14ac:dyDescent="0.2">
      <c r="A467" s="3" t="s">
        <v>151</v>
      </c>
      <c r="B467" s="3" t="str">
        <f xml:space="preserve"> SUBSTITUTE(RIGHT(SUBSTITUTE(Network_Connections[[#This Row],[from]],"_",REPT("*",10)),10),"*","")</f>
        <v>FW4</v>
      </c>
      <c r="C467" s="3" t="str">
        <f>INDEX(Assets[Asset_ID],MATCH(Network_Connections[[#This Row],[From1]],Assets[name],0))</f>
        <v>A00020</v>
      </c>
      <c r="D467" s="3" t="s">
        <v>162</v>
      </c>
      <c r="E467" s="3" t="str">
        <f xml:space="preserve"> SUBSTITUTE(RIGHT(SUBSTITUTE(Network_Connections[[#This Row],[to]],"_",REPT("*",10)),10),"*","")</f>
        <v>Banking</v>
      </c>
      <c r="F467" s="3" t="str">
        <f>INDEX(Assets[Asset_ID],MATCH(Network_Connections[[#This Row],[From2]],Assets[name],0))</f>
        <v>A00009</v>
      </c>
      <c r="G467" s="3" t="s">
        <v>145</v>
      </c>
      <c r="H467" s="3" t="s">
        <v>144</v>
      </c>
      <c r="I467" s="3">
        <v>0</v>
      </c>
      <c r="J46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7" s="3" t="str">
        <f>RIGHT(Network_Connections[[#This Row],[port/protocol]],LEN(Network_Connections[[#This Row],[port/protocol]])-FIND("/",Network_Connections[[#This Row],[port/protocol]]))</f>
        <v>0-65535</v>
      </c>
      <c r="L467" s="3">
        <f t="shared" si="8"/>
        <v>0</v>
      </c>
    </row>
    <row r="468" spans="1:12" x14ac:dyDescent="0.2">
      <c r="A468" s="3" t="s">
        <v>151</v>
      </c>
      <c r="B468" s="3" t="str">
        <f xml:space="preserve"> SUBSTITUTE(RIGHT(SUBSTITUTE(Network_Connections[[#This Row],[from]],"_",REPT("*",10)),10),"*","")</f>
        <v>FW4</v>
      </c>
      <c r="C468" s="3" t="str">
        <f>INDEX(Assets[Asset_ID],MATCH(Network_Connections[[#This Row],[From1]],Assets[name],0))</f>
        <v>A00020</v>
      </c>
      <c r="D468" s="3" t="s">
        <v>161</v>
      </c>
      <c r="E468" s="3" t="str">
        <f xml:space="preserve"> SUBSTITUTE(RIGHT(SUBSTITUTE(Network_Connections[[#This Row],[to]],"_",REPT("*",10)),10),"*","")</f>
        <v>Email</v>
      </c>
      <c r="F468" s="3" t="str">
        <f>INDEX(Assets[Asset_ID],MATCH(Network_Connections[[#This Row],[From2]],Assets[name],0))</f>
        <v>A00010</v>
      </c>
      <c r="G468" s="3" t="s">
        <v>145</v>
      </c>
      <c r="H468" s="3" t="s">
        <v>144</v>
      </c>
      <c r="I468" s="3">
        <v>0</v>
      </c>
      <c r="J46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8" s="3" t="str">
        <f>RIGHT(Network_Connections[[#This Row],[port/protocol]],LEN(Network_Connections[[#This Row],[port/protocol]])-FIND("/",Network_Connections[[#This Row],[port/protocol]]))</f>
        <v>0-65535</v>
      </c>
      <c r="L468" s="3">
        <f t="shared" si="8"/>
        <v>0</v>
      </c>
    </row>
    <row r="469" spans="1:12" x14ac:dyDescent="0.2">
      <c r="A469" s="3" t="s">
        <v>151</v>
      </c>
      <c r="B469" s="3" t="str">
        <f xml:space="preserve"> SUBSTITUTE(RIGHT(SUBSTITUTE(Network_Connections[[#This Row],[from]],"_",REPT("*",10)),10),"*","")</f>
        <v>FW4</v>
      </c>
      <c r="C469" s="3" t="str">
        <f>INDEX(Assets[Asset_ID],MATCH(Network_Connections[[#This Row],[From1]],Assets[name],0))</f>
        <v>A00020</v>
      </c>
      <c r="D469" s="3" t="s">
        <v>160</v>
      </c>
      <c r="E469" s="3" t="str">
        <f xml:space="preserve"> SUBSTITUTE(RIGHT(SUBSTITUTE(Network_Connections[[#This Row],[to]],"_",REPT("*",10)),10),"*","")</f>
        <v>WMS</v>
      </c>
      <c r="F469" s="3" t="str">
        <f>INDEX(Assets[Asset_ID],MATCH(Network_Connections[[#This Row],[From2]],Assets[name],0))</f>
        <v>A00011</v>
      </c>
      <c r="G469" s="3" t="s">
        <v>145</v>
      </c>
      <c r="H469" s="3" t="s">
        <v>144</v>
      </c>
      <c r="I469" s="3">
        <v>0</v>
      </c>
      <c r="J46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69" s="3" t="str">
        <f>RIGHT(Network_Connections[[#This Row],[port/protocol]],LEN(Network_Connections[[#This Row],[port/protocol]])-FIND("/",Network_Connections[[#This Row],[port/protocol]]))</f>
        <v>0-65535</v>
      </c>
      <c r="L469" s="3">
        <f t="shared" si="8"/>
        <v>0</v>
      </c>
    </row>
    <row r="470" spans="1:12" x14ac:dyDescent="0.2">
      <c r="A470" s="3" t="s">
        <v>151</v>
      </c>
      <c r="B470" s="3" t="str">
        <f xml:space="preserve"> SUBSTITUTE(RIGHT(SUBSTITUTE(Network_Connections[[#This Row],[from]],"_",REPT("*",10)),10),"*","")</f>
        <v>FW4</v>
      </c>
      <c r="C470" s="3" t="str">
        <f>INDEX(Assets[Asset_ID],MATCH(Network_Connections[[#This Row],[From1]],Assets[name],0))</f>
        <v>A00020</v>
      </c>
      <c r="D470" s="3" t="s">
        <v>159</v>
      </c>
      <c r="E470" s="3" t="str">
        <f xml:space="preserve"> SUBSTITUTE(RIGHT(SUBSTITUTE(Network_Connections[[#This Row],[to]],"_",REPT("*",10)),10),"*","")</f>
        <v>CRM</v>
      </c>
      <c r="F470" s="3" t="str">
        <f>INDEX(Assets[Asset_ID],MATCH(Network_Connections[[#This Row],[From2]],Assets[name],0))</f>
        <v>A00012</v>
      </c>
      <c r="G470" s="3" t="s">
        <v>145</v>
      </c>
      <c r="H470" s="3" t="s">
        <v>144</v>
      </c>
      <c r="I470" s="3">
        <v>0</v>
      </c>
      <c r="J47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0" s="3" t="str">
        <f>RIGHT(Network_Connections[[#This Row],[port/protocol]],LEN(Network_Connections[[#This Row],[port/protocol]])-FIND("/",Network_Connections[[#This Row],[port/protocol]]))</f>
        <v>0-65535</v>
      </c>
      <c r="L470" s="3">
        <f t="shared" si="8"/>
        <v>0</v>
      </c>
    </row>
    <row r="471" spans="1:12" x14ac:dyDescent="0.2">
      <c r="A471" s="3" t="s">
        <v>151</v>
      </c>
      <c r="B471" s="3" t="str">
        <f xml:space="preserve"> SUBSTITUTE(RIGHT(SUBSTITUTE(Network_Connections[[#This Row],[from]],"_",REPT("*",10)),10),"*","")</f>
        <v>FW4</v>
      </c>
      <c r="C471" s="3" t="str">
        <f>INDEX(Assets[Asset_ID],MATCH(Network_Connections[[#This Row],[From1]],Assets[name],0))</f>
        <v>A00020</v>
      </c>
      <c r="D471" s="3" t="s">
        <v>158</v>
      </c>
      <c r="E471" s="3" t="str">
        <f xml:space="preserve"> SUBSTITUTE(RIGHT(SUBSTITUTE(Network_Connections[[#This Row],[to]],"_",REPT("*",10)),10),"*","")</f>
        <v>WIFI1</v>
      </c>
      <c r="F471" s="3" t="str">
        <f>INDEX(Assets[Asset_ID],MATCH(Network_Connections[[#This Row],[From2]],Assets[name],0))</f>
        <v>A00013</v>
      </c>
      <c r="G471" s="3" t="s">
        <v>145</v>
      </c>
      <c r="H471" s="3" t="s">
        <v>144</v>
      </c>
      <c r="I471" s="3">
        <v>0</v>
      </c>
      <c r="J47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1" s="3" t="str">
        <f>RIGHT(Network_Connections[[#This Row],[port/protocol]],LEN(Network_Connections[[#This Row],[port/protocol]])-FIND("/",Network_Connections[[#This Row],[port/protocol]]))</f>
        <v>0-65535</v>
      </c>
      <c r="L471" s="3">
        <f t="shared" si="8"/>
        <v>0</v>
      </c>
    </row>
    <row r="472" spans="1:12" x14ac:dyDescent="0.2">
      <c r="A472" s="3" t="s">
        <v>151</v>
      </c>
      <c r="B472" s="3" t="str">
        <f xml:space="preserve"> SUBSTITUTE(RIGHT(SUBSTITUTE(Network_Connections[[#This Row],[from]],"_",REPT("*",10)),10),"*","")</f>
        <v>FW4</v>
      </c>
      <c r="C472" s="3" t="str">
        <f>INDEX(Assets[Asset_ID],MATCH(Network_Connections[[#This Row],[From1]],Assets[name],0))</f>
        <v>A00020</v>
      </c>
      <c r="D472" s="3" t="s">
        <v>157</v>
      </c>
      <c r="E472" s="3" t="str">
        <f xml:space="preserve"> SUBSTITUTE(RIGHT(SUBSTITUTE(Network_Connections[[#This Row],[to]],"_",REPT("*",10)),10),"*","")</f>
        <v>WS1</v>
      </c>
      <c r="F472" s="3" t="str">
        <f>INDEX(Assets[Asset_ID],MATCH(Network_Connections[[#This Row],[From2]],Assets[name],0))</f>
        <v>A00014</v>
      </c>
      <c r="G472" s="3" t="s">
        <v>145</v>
      </c>
      <c r="H472" s="3" t="s">
        <v>144</v>
      </c>
      <c r="I472" s="3">
        <v>0</v>
      </c>
      <c r="J47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2" s="3" t="str">
        <f>RIGHT(Network_Connections[[#This Row],[port/protocol]],LEN(Network_Connections[[#This Row],[port/protocol]])-FIND("/",Network_Connections[[#This Row],[port/protocol]]))</f>
        <v>0-65535</v>
      </c>
      <c r="L472" s="3">
        <f t="shared" si="8"/>
        <v>0</v>
      </c>
    </row>
    <row r="473" spans="1:12" x14ac:dyDescent="0.2">
      <c r="A473" s="3" t="s">
        <v>151</v>
      </c>
      <c r="B473" s="3" t="str">
        <f xml:space="preserve"> SUBSTITUTE(RIGHT(SUBSTITUTE(Network_Connections[[#This Row],[from]],"_",REPT("*",10)),10),"*","")</f>
        <v>FW4</v>
      </c>
      <c r="C473" s="3" t="str">
        <f>INDEX(Assets[Asset_ID],MATCH(Network_Connections[[#This Row],[From1]],Assets[name],0))</f>
        <v>A00020</v>
      </c>
      <c r="D473" s="3" t="s">
        <v>156</v>
      </c>
      <c r="E473" s="3" t="str">
        <f xml:space="preserve"> SUBSTITUTE(RIGHT(SUBSTITUTE(Network_Connections[[#This Row],[to]],"_",REPT("*",10)),10),"*","")</f>
        <v>FW3</v>
      </c>
      <c r="F473" s="3" t="str">
        <f>INDEX(Assets[Asset_ID],MATCH(Network_Connections[[#This Row],[From2]],Assets[name],0))</f>
        <v>A00015</v>
      </c>
      <c r="G473" s="3" t="s">
        <v>145</v>
      </c>
      <c r="H473" s="3" t="s">
        <v>144</v>
      </c>
      <c r="I473" s="3">
        <v>0</v>
      </c>
      <c r="J47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3" s="3" t="str">
        <f>RIGHT(Network_Connections[[#This Row],[port/protocol]],LEN(Network_Connections[[#This Row],[port/protocol]])-FIND("/",Network_Connections[[#This Row],[port/protocol]]))</f>
        <v>0-65535</v>
      </c>
      <c r="L473" s="3">
        <f t="shared" si="8"/>
        <v>0</v>
      </c>
    </row>
    <row r="474" spans="1:12" x14ac:dyDescent="0.2">
      <c r="A474" s="3" t="s">
        <v>151</v>
      </c>
      <c r="B474" s="3" t="str">
        <f xml:space="preserve"> SUBSTITUTE(RIGHT(SUBSTITUTE(Network_Connections[[#This Row],[from]],"_",REPT("*",10)),10),"*","")</f>
        <v>FW4</v>
      </c>
      <c r="C474" s="3" t="str">
        <f>INDEX(Assets[Asset_ID],MATCH(Network_Connections[[#This Row],[From1]],Assets[name],0))</f>
        <v>A00020</v>
      </c>
      <c r="D474" s="3" t="s">
        <v>155</v>
      </c>
      <c r="E474" s="3" t="str">
        <f xml:space="preserve"> SUBSTITUTE(RIGHT(SUBSTITUTE(Network_Connections[[#This Row],[to]],"_",REPT("*",10)),10),"*","")</f>
        <v>SW2</v>
      </c>
      <c r="F474" s="3" t="str">
        <f>INDEX(Assets[Asset_ID],MATCH(Network_Connections[[#This Row],[From2]],Assets[name],0))</f>
        <v>A00016</v>
      </c>
      <c r="G474" s="3" t="s">
        <v>145</v>
      </c>
      <c r="H474" s="3" t="s">
        <v>144</v>
      </c>
      <c r="I474" s="3">
        <v>0</v>
      </c>
      <c r="J47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4" s="3" t="str">
        <f>RIGHT(Network_Connections[[#This Row],[port/protocol]],LEN(Network_Connections[[#This Row],[port/protocol]])-FIND("/",Network_Connections[[#This Row],[port/protocol]]))</f>
        <v>0-65535</v>
      </c>
      <c r="L474" s="3">
        <f t="shared" si="8"/>
        <v>0</v>
      </c>
    </row>
    <row r="475" spans="1:12" x14ac:dyDescent="0.2">
      <c r="A475" s="3" t="s">
        <v>151</v>
      </c>
      <c r="B475" s="3" t="str">
        <f xml:space="preserve"> SUBSTITUTE(RIGHT(SUBSTITUTE(Network_Connections[[#This Row],[from]],"_",REPT("*",10)),10),"*","")</f>
        <v>FW4</v>
      </c>
      <c r="C475" s="3" t="str">
        <f>INDEX(Assets[Asset_ID],MATCH(Network_Connections[[#This Row],[From1]],Assets[name],0))</f>
        <v>A00020</v>
      </c>
      <c r="D475" s="3" t="s">
        <v>154</v>
      </c>
      <c r="E475" s="3" t="str">
        <f xml:space="preserve"> SUBSTITUTE(RIGHT(SUBSTITUTE(Network_Connections[[#This Row],[to]],"_",REPT("*",10)),10),"*","")</f>
        <v>WS2</v>
      </c>
      <c r="F475" s="3" t="str">
        <f>INDEX(Assets[Asset_ID],MATCH(Network_Connections[[#This Row],[From2]],Assets[name],0))</f>
        <v>A00017</v>
      </c>
      <c r="G475" s="3" t="s">
        <v>145</v>
      </c>
      <c r="H475" s="3" t="s">
        <v>144</v>
      </c>
      <c r="I475" s="3">
        <v>0</v>
      </c>
      <c r="J47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5" s="3" t="str">
        <f>RIGHT(Network_Connections[[#This Row],[port/protocol]],LEN(Network_Connections[[#This Row],[port/protocol]])-FIND("/",Network_Connections[[#This Row],[port/protocol]]))</f>
        <v>0-65535</v>
      </c>
      <c r="L475" s="3">
        <f t="shared" si="8"/>
        <v>0</v>
      </c>
    </row>
    <row r="476" spans="1:12" x14ac:dyDescent="0.2">
      <c r="A476" s="3" t="s">
        <v>151</v>
      </c>
      <c r="B476" s="3" t="str">
        <f xml:space="preserve"> SUBSTITUTE(RIGHT(SUBSTITUTE(Network_Connections[[#This Row],[from]],"_",REPT("*",10)),10),"*","")</f>
        <v>FW4</v>
      </c>
      <c r="C476" s="3" t="str">
        <f>INDEX(Assets[Asset_ID],MATCH(Network_Connections[[#This Row],[From1]],Assets[name],0))</f>
        <v>A00020</v>
      </c>
      <c r="D476" s="3" t="s">
        <v>153</v>
      </c>
      <c r="E476" s="3" t="str">
        <f xml:space="preserve"> SUBSTITUTE(RIGHT(SUBSTITUTE(Network_Connections[[#This Row],[to]],"_",REPT("*",10)),10),"*","")</f>
        <v>WS3</v>
      </c>
      <c r="F476" s="3" t="str">
        <f>INDEX(Assets[Asset_ID],MATCH(Network_Connections[[#This Row],[From2]],Assets[name],0))</f>
        <v>A00018</v>
      </c>
      <c r="G476" s="3" t="s">
        <v>145</v>
      </c>
      <c r="H476" s="3" t="s">
        <v>144</v>
      </c>
      <c r="I476" s="3">
        <v>0</v>
      </c>
      <c r="J47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6" s="3" t="str">
        <f>RIGHT(Network_Connections[[#This Row],[port/protocol]],LEN(Network_Connections[[#This Row],[port/protocol]])-FIND("/",Network_Connections[[#This Row],[port/protocol]]))</f>
        <v>0-65535</v>
      </c>
      <c r="L476" s="3">
        <f t="shared" si="8"/>
        <v>0</v>
      </c>
    </row>
    <row r="477" spans="1:12" x14ac:dyDescent="0.2">
      <c r="A477" s="3" t="s">
        <v>151</v>
      </c>
      <c r="B477" s="3" t="str">
        <f xml:space="preserve"> SUBSTITUTE(RIGHT(SUBSTITUTE(Network_Connections[[#This Row],[from]],"_",REPT("*",10)),10),"*","")</f>
        <v>FW4</v>
      </c>
      <c r="C477" s="3" t="str">
        <f>INDEX(Assets[Asset_ID],MATCH(Network_Connections[[#This Row],[From1]],Assets[name],0))</f>
        <v>A00020</v>
      </c>
      <c r="D477" s="3" t="s">
        <v>152</v>
      </c>
      <c r="E477" s="3" t="str">
        <f xml:space="preserve"> SUBSTITUTE(RIGHT(SUBSTITUTE(Network_Connections[[#This Row],[to]],"_",REPT("*",10)),10),"*","")</f>
        <v>WS4</v>
      </c>
      <c r="F477" s="3" t="str">
        <f>INDEX(Assets[Asset_ID],MATCH(Network_Connections[[#This Row],[From2]],Assets[name],0))</f>
        <v>A00019</v>
      </c>
      <c r="G477" s="3" t="s">
        <v>145</v>
      </c>
      <c r="H477" s="3" t="s">
        <v>144</v>
      </c>
      <c r="I477" s="3">
        <v>0</v>
      </c>
      <c r="J47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77" s="3" t="str">
        <f>RIGHT(Network_Connections[[#This Row],[port/protocol]],LEN(Network_Connections[[#This Row],[port/protocol]])-FIND("/",Network_Connections[[#This Row],[port/protocol]]))</f>
        <v>0-65535</v>
      </c>
      <c r="L477" s="3">
        <f t="shared" si="8"/>
        <v>0</v>
      </c>
    </row>
    <row r="478" spans="1:12" x14ac:dyDescent="0.2">
      <c r="A478" s="3" t="s">
        <v>151</v>
      </c>
      <c r="B478" s="3" t="str">
        <f xml:space="preserve"> SUBSTITUTE(RIGHT(SUBSTITUTE(Network_Connections[[#This Row],[from]],"_",REPT("*",10)),10),"*","")</f>
        <v>FW4</v>
      </c>
      <c r="C478" s="3" t="str">
        <f>INDEX(Assets[Asset_ID],MATCH(Network_Connections[[#This Row],[From1]],Assets[name],0))</f>
        <v>A00020</v>
      </c>
      <c r="D478" s="3" t="s">
        <v>150</v>
      </c>
      <c r="E478" s="3" t="str">
        <f xml:space="preserve"> SUBSTITUTE(RIGHT(SUBSTITUTE(Network_Connections[[#This Row],[to]],"_",REPT("*",10)),10),"*","")</f>
        <v>WIFI2</v>
      </c>
      <c r="F478" s="3" t="str">
        <f>INDEX(Assets[Asset_ID],MATCH(Network_Connections[[#This Row],[From2]],Assets[name],0))</f>
        <v>A00021</v>
      </c>
      <c r="G478" s="3" t="s">
        <v>145</v>
      </c>
      <c r="H478" s="3" t="s">
        <v>144</v>
      </c>
      <c r="I478" s="3">
        <v>1</v>
      </c>
      <c r="J47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"A00020"-&gt;"A00021"@00:("IP", "0-65535");</v>
      </c>
      <c r="K478" s="3" t="str">
        <f>RIGHT(Network_Connections[[#This Row],[port/protocol]],LEN(Network_Connections[[#This Row],[port/protocol]])-FIND("/",Network_Connections[[#This Row],[port/protocol]]))</f>
        <v>0-65535</v>
      </c>
      <c r="L478" s="3">
        <f t="shared" si="8"/>
        <v>0</v>
      </c>
    </row>
    <row r="479" spans="1:12" x14ac:dyDescent="0.2">
      <c r="A479" s="3" t="s">
        <v>151</v>
      </c>
      <c r="B479" s="3" t="str">
        <f xml:space="preserve"> SUBSTITUTE(RIGHT(SUBSTITUTE(Network_Connections[[#This Row],[from]],"_",REPT("*",10)),10),"*","")</f>
        <v>FW4</v>
      </c>
      <c r="C479" s="3" t="str">
        <f>INDEX(Assets[Asset_ID],MATCH(Network_Connections[[#This Row],[From1]],Assets[name],0))</f>
        <v>A00020</v>
      </c>
      <c r="D479" s="3" t="s">
        <v>149</v>
      </c>
      <c r="E479" s="3" t="str">
        <f xml:space="preserve"> SUBSTITUTE(RIGHT(SUBSTITUTE(Network_Connections[[#This Row],[to]],"_",REPT("*",10)),10),"*","")</f>
        <v>WS5</v>
      </c>
      <c r="F479" s="3" t="str">
        <f>INDEX(Assets[Asset_ID],MATCH(Network_Connections[[#This Row],[From2]],Assets[name],0))</f>
        <v>A00022</v>
      </c>
      <c r="G479" s="3" t="s">
        <v>145</v>
      </c>
      <c r="H479" s="3" t="s">
        <v>144</v>
      </c>
      <c r="I479" s="3">
        <v>1</v>
      </c>
      <c r="J47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"A00020"-&gt;"A00022"@00:("IP", "0-65535");</v>
      </c>
      <c r="K479" s="3" t="str">
        <f>RIGHT(Network_Connections[[#This Row],[port/protocol]],LEN(Network_Connections[[#This Row],[port/protocol]])-FIND("/",Network_Connections[[#This Row],[port/protocol]]))</f>
        <v>0-65535</v>
      </c>
      <c r="L479" s="3">
        <f t="shared" si="8"/>
        <v>0</v>
      </c>
    </row>
    <row r="480" spans="1:12" x14ac:dyDescent="0.2">
      <c r="A480" s="3" t="s">
        <v>151</v>
      </c>
      <c r="B480" s="3" t="str">
        <f xml:space="preserve"> SUBSTITUTE(RIGHT(SUBSTITUTE(Network_Connections[[#This Row],[from]],"_",REPT("*",10)),10),"*","")</f>
        <v>FW4</v>
      </c>
      <c r="C480" s="3" t="str">
        <f>INDEX(Assets[Asset_ID],MATCH(Network_Connections[[#This Row],[From1]],Assets[name],0))</f>
        <v>A00020</v>
      </c>
      <c r="D480" s="3" t="s">
        <v>148</v>
      </c>
      <c r="E480" s="3" t="str">
        <f xml:space="preserve"> SUBSTITUTE(RIGHT(SUBSTITUTE(Network_Connections[[#This Row],[to]],"_",REPT("*",10)),10),"*","")</f>
        <v>WS6</v>
      </c>
      <c r="F480" s="3" t="str">
        <f>INDEX(Assets[Asset_ID],MATCH(Network_Connections[[#This Row],[From2]],Assets[name],0))</f>
        <v>A00023</v>
      </c>
      <c r="G480" s="3" t="s">
        <v>145</v>
      </c>
      <c r="H480" s="3" t="s">
        <v>144</v>
      </c>
      <c r="I480" s="3">
        <v>1</v>
      </c>
      <c r="J48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"A00020"-&gt;"A00023"@00:("IP", "0-65535");</v>
      </c>
      <c r="K480" s="3" t="str">
        <f>RIGHT(Network_Connections[[#This Row],[port/protocol]],LEN(Network_Connections[[#This Row],[port/protocol]])-FIND("/",Network_Connections[[#This Row],[port/protocol]]))</f>
        <v>0-65535</v>
      </c>
      <c r="L480" s="3">
        <f t="shared" si="8"/>
        <v>0</v>
      </c>
    </row>
    <row r="481" spans="1:12" x14ac:dyDescent="0.2">
      <c r="A481" s="3" t="s">
        <v>151</v>
      </c>
      <c r="B481" s="3" t="str">
        <f xml:space="preserve"> SUBSTITUTE(RIGHT(SUBSTITUTE(Network_Connections[[#This Row],[from]],"_",REPT("*",10)),10),"*","")</f>
        <v>FW4</v>
      </c>
      <c r="C481" s="3" t="str">
        <f>INDEX(Assets[Asset_ID],MATCH(Network_Connections[[#This Row],[From1]],Assets[name],0))</f>
        <v>A00020</v>
      </c>
      <c r="D481" s="3" t="s">
        <v>146</v>
      </c>
      <c r="E481" s="3" t="str">
        <f xml:space="preserve"> SUBSTITUTE(RIGHT(SUBSTITUTE(Network_Connections[[#This Row],[to]],"_",REPT("*",10)),10),"*","")</f>
        <v>WS7</v>
      </c>
      <c r="F481" s="3" t="str">
        <f>INDEX(Assets[Asset_ID],MATCH(Network_Connections[[#This Row],[From2]],Assets[name],0))</f>
        <v>A00024</v>
      </c>
      <c r="G481" s="3" t="s">
        <v>145</v>
      </c>
      <c r="H481" s="3" t="s">
        <v>144</v>
      </c>
      <c r="I481" s="3">
        <v>0</v>
      </c>
      <c r="J48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1" s="3" t="str">
        <f>RIGHT(Network_Connections[[#This Row],[port/protocol]],LEN(Network_Connections[[#This Row],[port/protocol]])-FIND("/",Network_Connections[[#This Row],[port/protocol]]))</f>
        <v>0-65535</v>
      </c>
      <c r="L481" s="3">
        <f t="shared" si="8"/>
        <v>0</v>
      </c>
    </row>
    <row r="482" spans="1:12" x14ac:dyDescent="0.2">
      <c r="A482" s="3" t="s">
        <v>151</v>
      </c>
      <c r="B482" s="3" t="str">
        <f xml:space="preserve"> SUBSTITUTE(RIGHT(SUBSTITUTE(Network_Connections[[#This Row],[from]],"_",REPT("*",10)),10),"*","")</f>
        <v>FW4</v>
      </c>
      <c r="C482" s="3" t="str">
        <f>INDEX(Assets[Asset_ID],MATCH(Network_Connections[[#This Row],[From1]],Assets[name],0))</f>
        <v>A00020</v>
      </c>
      <c r="D482" s="3" t="s">
        <v>147</v>
      </c>
      <c r="E482" s="3" t="str">
        <f xml:space="preserve"> SUBSTITUTE(RIGHT(SUBSTITUTE(Network_Connections[[#This Row],[to]],"_",REPT("*",10)),10),"*","")</f>
        <v>WS8</v>
      </c>
      <c r="F482" s="3" t="str">
        <f>INDEX(Assets[Asset_ID],MATCH(Network_Connections[[#This Row],[From2]],Assets[name],0))</f>
        <v>A00025</v>
      </c>
      <c r="G482" s="3" t="s">
        <v>145</v>
      </c>
      <c r="H482" s="3" t="s">
        <v>144</v>
      </c>
      <c r="I482" s="3">
        <v>0</v>
      </c>
      <c r="J48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2" s="3" t="str">
        <f>RIGHT(Network_Connections[[#This Row],[port/protocol]],LEN(Network_Connections[[#This Row],[port/protocol]])-FIND("/",Network_Connections[[#This Row],[port/protocol]]))</f>
        <v>0-65535</v>
      </c>
      <c r="L482" s="3">
        <f t="shared" si="8"/>
        <v>0</v>
      </c>
    </row>
    <row r="483" spans="1:12" x14ac:dyDescent="0.2">
      <c r="A483" s="3" t="s">
        <v>150</v>
      </c>
      <c r="B483" s="3" t="str">
        <f xml:space="preserve"> SUBSTITUTE(RIGHT(SUBSTITUTE(Network_Connections[[#This Row],[from]],"_",REPT("*",10)),10),"*","")</f>
        <v>WIFI2</v>
      </c>
      <c r="C483" s="3" t="str">
        <f>INDEX(Assets[Asset_ID],MATCH(Network_Connections[[#This Row],[From1]],Assets[name],0))</f>
        <v>A00021</v>
      </c>
      <c r="D483" s="3" t="s">
        <v>171</v>
      </c>
      <c r="E483" s="3" t="str">
        <f xml:space="preserve"> SUBSTITUTE(RIGHT(SUBSTITUTE(Network_Connections[[#This Row],[to]],"_",REPT("*",10)),10),"*","")</f>
        <v>FW1</v>
      </c>
      <c r="F483" s="3" t="str">
        <f>INDEX(Assets[Asset_ID],MATCH(Network_Connections[[#This Row],[From2]],Assets[name],0))</f>
        <v>A00001</v>
      </c>
      <c r="G483" s="3" t="s">
        <v>145</v>
      </c>
      <c r="H483" s="3" t="s">
        <v>144</v>
      </c>
      <c r="I483" s="3">
        <v>0</v>
      </c>
      <c r="J48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3" s="3" t="str">
        <f>RIGHT(Network_Connections[[#This Row],[port/protocol]],LEN(Network_Connections[[#This Row],[port/protocol]])-FIND("/",Network_Connections[[#This Row],[port/protocol]]))</f>
        <v>0-65535</v>
      </c>
      <c r="L483" s="3">
        <f t="shared" si="8"/>
        <v>0</v>
      </c>
    </row>
    <row r="484" spans="1:12" x14ac:dyDescent="0.2">
      <c r="A484" s="3" t="s">
        <v>150</v>
      </c>
      <c r="B484" s="3" t="str">
        <f xml:space="preserve"> SUBSTITUTE(RIGHT(SUBSTITUTE(Network_Connections[[#This Row],[from]],"_",REPT("*",10)),10),"*","")</f>
        <v>WIFI2</v>
      </c>
      <c r="C484" s="3" t="str">
        <f>INDEX(Assets[Asset_ID],MATCH(Network_Connections[[#This Row],[From1]],Assets[name],0))</f>
        <v>A00021</v>
      </c>
      <c r="D484" s="3" t="s">
        <v>170</v>
      </c>
      <c r="E484" s="3" t="str">
        <f xml:space="preserve"> SUBSTITUTE(RIGHT(SUBSTITUTE(Network_Connections[[#This Row],[to]],"_",REPT("*",10)),10),"*","")</f>
        <v>VPNSRV</v>
      </c>
      <c r="F484" s="3" t="str">
        <f>INDEX(Assets[Asset_ID],MATCH(Network_Connections[[#This Row],[From2]],Assets[name],0))</f>
        <v>A00002</v>
      </c>
      <c r="G484" s="3" t="s">
        <v>145</v>
      </c>
      <c r="H484" s="3" t="s">
        <v>144</v>
      </c>
      <c r="I484" s="3">
        <v>0</v>
      </c>
      <c r="J48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4" s="3" t="str">
        <f>RIGHT(Network_Connections[[#This Row],[port/protocol]],LEN(Network_Connections[[#This Row],[port/protocol]])-FIND("/",Network_Connections[[#This Row],[port/protocol]]))</f>
        <v>0-65535</v>
      </c>
      <c r="L484" s="3">
        <f t="shared" si="8"/>
        <v>0</v>
      </c>
    </row>
    <row r="485" spans="1:12" x14ac:dyDescent="0.2">
      <c r="A485" s="3" t="s">
        <v>150</v>
      </c>
      <c r="B485" s="3" t="str">
        <f xml:space="preserve"> SUBSTITUTE(RIGHT(SUBSTITUTE(Network_Connections[[#This Row],[from]],"_",REPT("*",10)),10),"*","")</f>
        <v>WIFI2</v>
      </c>
      <c r="C485" s="3" t="str">
        <f>INDEX(Assets[Asset_ID],MATCH(Network_Connections[[#This Row],[From1]],Assets[name],0))</f>
        <v>A00021</v>
      </c>
      <c r="D485" s="3" t="s">
        <v>169</v>
      </c>
      <c r="E485" s="3" t="str">
        <f xml:space="preserve"> SUBSTITUTE(RIGHT(SUBSTITUTE(Network_Connections[[#This Row],[to]],"_",REPT("*",10)),10),"*","")</f>
        <v>WebSRV1</v>
      </c>
      <c r="F485" s="3" t="str">
        <f>INDEX(Assets[Asset_ID],MATCH(Network_Connections[[#This Row],[From2]],Assets[name],0))</f>
        <v>A00003</v>
      </c>
      <c r="G485" s="3" t="s">
        <v>145</v>
      </c>
      <c r="H485" s="3" t="s">
        <v>144</v>
      </c>
      <c r="I485" s="3">
        <v>0</v>
      </c>
      <c r="J48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5" s="3" t="str">
        <f>RIGHT(Network_Connections[[#This Row],[port/protocol]],LEN(Network_Connections[[#This Row],[port/protocol]])-FIND("/",Network_Connections[[#This Row],[port/protocol]]))</f>
        <v>0-65535</v>
      </c>
      <c r="L485" s="3">
        <f t="shared" si="8"/>
        <v>0</v>
      </c>
    </row>
    <row r="486" spans="1:12" x14ac:dyDescent="0.2">
      <c r="A486" s="3" t="s">
        <v>150</v>
      </c>
      <c r="B486" s="3" t="str">
        <f xml:space="preserve"> SUBSTITUTE(RIGHT(SUBSTITUTE(Network_Connections[[#This Row],[from]],"_",REPT("*",10)),10),"*","")</f>
        <v>WIFI2</v>
      </c>
      <c r="C486" s="3" t="str">
        <f>INDEX(Assets[Asset_ID],MATCH(Network_Connections[[#This Row],[From1]],Assets[name],0))</f>
        <v>A00021</v>
      </c>
      <c r="D486" s="3" t="s">
        <v>168</v>
      </c>
      <c r="E486" s="3" t="str">
        <f xml:space="preserve"> SUBSTITUTE(RIGHT(SUBSTITUTE(Network_Connections[[#This Row],[to]],"_",REPT("*",10)),10),"*","")</f>
        <v>WebSRV2</v>
      </c>
      <c r="F486" s="3" t="str">
        <f>INDEX(Assets[Asset_ID],MATCH(Network_Connections[[#This Row],[From2]],Assets[name],0))</f>
        <v>A00004</v>
      </c>
      <c r="G486" s="3" t="s">
        <v>145</v>
      </c>
      <c r="H486" s="3" t="s">
        <v>144</v>
      </c>
      <c r="I486" s="3">
        <v>0</v>
      </c>
      <c r="J48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6" s="3" t="str">
        <f>RIGHT(Network_Connections[[#This Row],[port/protocol]],LEN(Network_Connections[[#This Row],[port/protocol]])-FIND("/",Network_Connections[[#This Row],[port/protocol]]))</f>
        <v>0-65535</v>
      </c>
      <c r="L486" s="3">
        <f t="shared" si="8"/>
        <v>0</v>
      </c>
    </row>
    <row r="487" spans="1:12" x14ac:dyDescent="0.2">
      <c r="A487" s="3" t="s">
        <v>150</v>
      </c>
      <c r="B487" s="3" t="str">
        <f xml:space="preserve"> SUBSTITUTE(RIGHT(SUBSTITUTE(Network_Connections[[#This Row],[from]],"_",REPT("*",10)),10),"*","")</f>
        <v>WIFI2</v>
      </c>
      <c r="C487" s="3" t="str">
        <f>INDEX(Assets[Asset_ID],MATCH(Network_Connections[[#This Row],[From1]],Assets[name],0))</f>
        <v>A00021</v>
      </c>
      <c r="D487" s="3" t="s">
        <v>166</v>
      </c>
      <c r="E487" s="3" t="str">
        <f xml:space="preserve"> SUBSTITUTE(RIGHT(SUBSTITUTE(Network_Connections[[#This Row],[to]],"_",REPT("*",10)),10),"*","")</f>
        <v>FW2</v>
      </c>
      <c r="F487" s="3" t="str">
        <f>INDEX(Assets[Asset_ID],MATCH(Network_Connections[[#This Row],[From2]],Assets[name],0))</f>
        <v>A00005</v>
      </c>
      <c r="G487" s="3" t="s">
        <v>145</v>
      </c>
      <c r="H487" s="3" t="s">
        <v>144</v>
      </c>
      <c r="I487" s="3">
        <v>0</v>
      </c>
      <c r="J48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7" s="3" t="str">
        <f>RIGHT(Network_Connections[[#This Row],[port/protocol]],LEN(Network_Connections[[#This Row],[port/protocol]])-FIND("/",Network_Connections[[#This Row],[port/protocol]]))</f>
        <v>0-65535</v>
      </c>
      <c r="L487" s="3">
        <f t="shared" si="8"/>
        <v>0</v>
      </c>
    </row>
    <row r="488" spans="1:12" x14ac:dyDescent="0.2">
      <c r="A488" s="3" t="s">
        <v>150</v>
      </c>
      <c r="B488" s="3" t="str">
        <f xml:space="preserve"> SUBSTITUTE(RIGHT(SUBSTITUTE(Network_Connections[[#This Row],[from]],"_",REPT("*",10)),10),"*","")</f>
        <v>WIFI2</v>
      </c>
      <c r="C488" s="3" t="str">
        <f>INDEX(Assets[Asset_ID],MATCH(Network_Connections[[#This Row],[From1]],Assets[name],0))</f>
        <v>A00021</v>
      </c>
      <c r="D488" s="3" t="s">
        <v>165</v>
      </c>
      <c r="E488" s="3" t="str">
        <f xml:space="preserve"> SUBSTITUTE(RIGHT(SUBSTITUTE(Network_Connections[[#This Row],[to]],"_",REPT("*",10)),10),"*","")</f>
        <v>SW1</v>
      </c>
      <c r="F488" s="3" t="str">
        <f>INDEX(Assets[Asset_ID],MATCH(Network_Connections[[#This Row],[From2]],Assets[name],0))</f>
        <v>A00006</v>
      </c>
      <c r="G488" s="3" t="s">
        <v>145</v>
      </c>
      <c r="H488" s="3" t="s">
        <v>144</v>
      </c>
      <c r="I488" s="3">
        <v>0</v>
      </c>
      <c r="J48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8" s="3" t="str">
        <f>RIGHT(Network_Connections[[#This Row],[port/protocol]],LEN(Network_Connections[[#This Row],[port/protocol]])-FIND("/",Network_Connections[[#This Row],[port/protocol]]))</f>
        <v>0-65535</v>
      </c>
      <c r="L488" s="3">
        <f t="shared" si="8"/>
        <v>0</v>
      </c>
    </row>
    <row r="489" spans="1:12" x14ac:dyDescent="0.2">
      <c r="A489" s="3" t="s">
        <v>150</v>
      </c>
      <c r="B489" s="3" t="str">
        <f xml:space="preserve"> SUBSTITUTE(RIGHT(SUBSTITUTE(Network_Connections[[#This Row],[from]],"_",REPT("*",10)),10),"*","")</f>
        <v>WIFI2</v>
      </c>
      <c r="C489" s="3" t="str">
        <f>INDEX(Assets[Asset_ID],MATCH(Network_Connections[[#This Row],[From1]],Assets[name],0))</f>
        <v>A00021</v>
      </c>
      <c r="D489" s="3" t="s">
        <v>164</v>
      </c>
      <c r="E489" s="3" t="str">
        <f xml:space="preserve"> SUBSTITUTE(RIGHT(SUBSTITUTE(Network_Connections[[#This Row],[to]],"_",REPT("*",10)),10),"*","")</f>
        <v>AD</v>
      </c>
      <c r="F489" s="3" t="str">
        <f>INDEX(Assets[Asset_ID],MATCH(Network_Connections[[#This Row],[From2]],Assets[name],0))</f>
        <v>A00007</v>
      </c>
      <c r="G489" s="3" t="s">
        <v>145</v>
      </c>
      <c r="H489" s="3" t="s">
        <v>144</v>
      </c>
      <c r="I489" s="3">
        <v>0</v>
      </c>
      <c r="J48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89" s="3" t="str">
        <f>RIGHT(Network_Connections[[#This Row],[port/protocol]],LEN(Network_Connections[[#This Row],[port/protocol]])-FIND("/",Network_Connections[[#This Row],[port/protocol]]))</f>
        <v>0-65535</v>
      </c>
      <c r="L489" s="3">
        <f t="shared" si="8"/>
        <v>0</v>
      </c>
    </row>
    <row r="490" spans="1:12" x14ac:dyDescent="0.2">
      <c r="A490" s="3" t="s">
        <v>150</v>
      </c>
      <c r="B490" s="3" t="str">
        <f xml:space="preserve"> SUBSTITUTE(RIGHT(SUBSTITUTE(Network_Connections[[#This Row],[from]],"_",REPT("*",10)),10),"*","")</f>
        <v>WIFI2</v>
      </c>
      <c r="C490" s="3" t="str">
        <f>INDEX(Assets[Asset_ID],MATCH(Network_Connections[[#This Row],[From1]],Assets[name],0))</f>
        <v>A00021</v>
      </c>
      <c r="D490" s="3" t="s">
        <v>163</v>
      </c>
      <c r="E490" s="3" t="str">
        <f xml:space="preserve"> SUBSTITUTE(RIGHT(SUBSTITUTE(Network_Connections[[#This Row],[to]],"_",REPT("*",10)),10),"*","")</f>
        <v>ERP</v>
      </c>
      <c r="F490" s="3" t="str">
        <f>INDEX(Assets[Asset_ID],MATCH(Network_Connections[[#This Row],[From2]],Assets[name],0))</f>
        <v>A00008</v>
      </c>
      <c r="G490" s="3" t="s">
        <v>145</v>
      </c>
      <c r="H490" s="3" t="s">
        <v>144</v>
      </c>
      <c r="I490" s="3">
        <v>0</v>
      </c>
      <c r="J49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0" s="3" t="str">
        <f>RIGHT(Network_Connections[[#This Row],[port/protocol]],LEN(Network_Connections[[#This Row],[port/protocol]])-FIND("/",Network_Connections[[#This Row],[port/protocol]]))</f>
        <v>0-65535</v>
      </c>
      <c r="L490" s="3">
        <f t="shared" si="8"/>
        <v>0</v>
      </c>
    </row>
    <row r="491" spans="1:12" x14ac:dyDescent="0.2">
      <c r="A491" s="3" t="s">
        <v>150</v>
      </c>
      <c r="B491" s="3" t="str">
        <f xml:space="preserve"> SUBSTITUTE(RIGHT(SUBSTITUTE(Network_Connections[[#This Row],[from]],"_",REPT("*",10)),10),"*","")</f>
        <v>WIFI2</v>
      </c>
      <c r="C491" s="3" t="str">
        <f>INDEX(Assets[Asset_ID],MATCH(Network_Connections[[#This Row],[From1]],Assets[name],0))</f>
        <v>A00021</v>
      </c>
      <c r="D491" s="3" t="s">
        <v>162</v>
      </c>
      <c r="E491" s="3" t="str">
        <f xml:space="preserve"> SUBSTITUTE(RIGHT(SUBSTITUTE(Network_Connections[[#This Row],[to]],"_",REPT("*",10)),10),"*","")</f>
        <v>Banking</v>
      </c>
      <c r="F491" s="3" t="str">
        <f>INDEX(Assets[Asset_ID],MATCH(Network_Connections[[#This Row],[From2]],Assets[name],0))</f>
        <v>A00009</v>
      </c>
      <c r="G491" s="3" t="s">
        <v>145</v>
      </c>
      <c r="H491" s="3" t="s">
        <v>144</v>
      </c>
      <c r="I491" s="3">
        <v>0</v>
      </c>
      <c r="J49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1" s="3" t="str">
        <f>RIGHT(Network_Connections[[#This Row],[port/protocol]],LEN(Network_Connections[[#This Row],[port/protocol]])-FIND("/",Network_Connections[[#This Row],[port/protocol]]))</f>
        <v>0-65535</v>
      </c>
      <c r="L491" s="3">
        <f t="shared" si="8"/>
        <v>0</v>
      </c>
    </row>
    <row r="492" spans="1:12" x14ac:dyDescent="0.2">
      <c r="A492" s="3" t="s">
        <v>150</v>
      </c>
      <c r="B492" s="3" t="str">
        <f xml:space="preserve"> SUBSTITUTE(RIGHT(SUBSTITUTE(Network_Connections[[#This Row],[from]],"_",REPT("*",10)),10),"*","")</f>
        <v>WIFI2</v>
      </c>
      <c r="C492" s="3" t="str">
        <f>INDEX(Assets[Asset_ID],MATCH(Network_Connections[[#This Row],[From1]],Assets[name],0))</f>
        <v>A00021</v>
      </c>
      <c r="D492" s="3" t="s">
        <v>161</v>
      </c>
      <c r="E492" s="3" t="str">
        <f xml:space="preserve"> SUBSTITUTE(RIGHT(SUBSTITUTE(Network_Connections[[#This Row],[to]],"_",REPT("*",10)),10),"*","")</f>
        <v>Email</v>
      </c>
      <c r="F492" s="3" t="str">
        <f>INDEX(Assets[Asset_ID],MATCH(Network_Connections[[#This Row],[From2]],Assets[name],0))</f>
        <v>A00010</v>
      </c>
      <c r="G492" s="3" t="s">
        <v>145</v>
      </c>
      <c r="H492" s="3" t="s">
        <v>144</v>
      </c>
      <c r="I492" s="3">
        <v>0</v>
      </c>
      <c r="J49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2" s="3" t="str">
        <f>RIGHT(Network_Connections[[#This Row],[port/protocol]],LEN(Network_Connections[[#This Row],[port/protocol]])-FIND("/",Network_Connections[[#This Row],[port/protocol]]))</f>
        <v>0-65535</v>
      </c>
      <c r="L492" s="3">
        <f t="shared" si="8"/>
        <v>0</v>
      </c>
    </row>
    <row r="493" spans="1:12" x14ac:dyDescent="0.2">
      <c r="A493" s="3" t="s">
        <v>150</v>
      </c>
      <c r="B493" s="3" t="str">
        <f xml:space="preserve"> SUBSTITUTE(RIGHT(SUBSTITUTE(Network_Connections[[#This Row],[from]],"_",REPT("*",10)),10),"*","")</f>
        <v>WIFI2</v>
      </c>
      <c r="C493" s="3" t="str">
        <f>INDEX(Assets[Asset_ID],MATCH(Network_Connections[[#This Row],[From1]],Assets[name],0))</f>
        <v>A00021</v>
      </c>
      <c r="D493" s="3" t="s">
        <v>160</v>
      </c>
      <c r="E493" s="3" t="str">
        <f xml:space="preserve"> SUBSTITUTE(RIGHT(SUBSTITUTE(Network_Connections[[#This Row],[to]],"_",REPT("*",10)),10),"*","")</f>
        <v>WMS</v>
      </c>
      <c r="F493" s="3" t="str">
        <f>INDEX(Assets[Asset_ID],MATCH(Network_Connections[[#This Row],[From2]],Assets[name],0))</f>
        <v>A00011</v>
      </c>
      <c r="G493" s="3" t="s">
        <v>145</v>
      </c>
      <c r="H493" s="3" t="s">
        <v>144</v>
      </c>
      <c r="I493" s="3">
        <v>0</v>
      </c>
      <c r="J49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3" s="3" t="str">
        <f>RIGHT(Network_Connections[[#This Row],[port/protocol]],LEN(Network_Connections[[#This Row],[port/protocol]])-FIND("/",Network_Connections[[#This Row],[port/protocol]]))</f>
        <v>0-65535</v>
      </c>
      <c r="L493" s="3">
        <f t="shared" si="8"/>
        <v>0</v>
      </c>
    </row>
    <row r="494" spans="1:12" x14ac:dyDescent="0.2">
      <c r="A494" s="3" t="s">
        <v>150</v>
      </c>
      <c r="B494" s="3" t="str">
        <f xml:space="preserve"> SUBSTITUTE(RIGHT(SUBSTITUTE(Network_Connections[[#This Row],[from]],"_",REPT("*",10)),10),"*","")</f>
        <v>WIFI2</v>
      </c>
      <c r="C494" s="3" t="str">
        <f>INDEX(Assets[Asset_ID],MATCH(Network_Connections[[#This Row],[From1]],Assets[name],0))</f>
        <v>A00021</v>
      </c>
      <c r="D494" s="3" t="s">
        <v>159</v>
      </c>
      <c r="E494" s="3" t="str">
        <f xml:space="preserve"> SUBSTITUTE(RIGHT(SUBSTITUTE(Network_Connections[[#This Row],[to]],"_",REPT("*",10)),10),"*","")</f>
        <v>CRM</v>
      </c>
      <c r="F494" s="3" t="str">
        <f>INDEX(Assets[Asset_ID],MATCH(Network_Connections[[#This Row],[From2]],Assets[name],0))</f>
        <v>A00012</v>
      </c>
      <c r="G494" s="3" t="s">
        <v>145</v>
      </c>
      <c r="H494" s="3" t="s">
        <v>144</v>
      </c>
      <c r="I494" s="3">
        <v>0</v>
      </c>
      <c r="J49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4" s="3" t="str">
        <f>RIGHT(Network_Connections[[#This Row],[port/protocol]],LEN(Network_Connections[[#This Row],[port/protocol]])-FIND("/",Network_Connections[[#This Row],[port/protocol]]))</f>
        <v>0-65535</v>
      </c>
      <c r="L494" s="3">
        <f t="shared" si="8"/>
        <v>0</v>
      </c>
    </row>
    <row r="495" spans="1:12" x14ac:dyDescent="0.2">
      <c r="A495" s="3" t="s">
        <v>150</v>
      </c>
      <c r="B495" s="3" t="str">
        <f xml:space="preserve"> SUBSTITUTE(RIGHT(SUBSTITUTE(Network_Connections[[#This Row],[from]],"_",REPT("*",10)),10),"*","")</f>
        <v>WIFI2</v>
      </c>
      <c r="C495" s="3" t="str">
        <f>INDEX(Assets[Asset_ID],MATCH(Network_Connections[[#This Row],[From1]],Assets[name],0))</f>
        <v>A00021</v>
      </c>
      <c r="D495" s="3" t="s">
        <v>158</v>
      </c>
      <c r="E495" s="3" t="str">
        <f xml:space="preserve"> SUBSTITUTE(RIGHT(SUBSTITUTE(Network_Connections[[#This Row],[to]],"_",REPT("*",10)),10),"*","")</f>
        <v>WIFI1</v>
      </c>
      <c r="F495" s="3" t="str">
        <f>INDEX(Assets[Asset_ID],MATCH(Network_Connections[[#This Row],[From2]],Assets[name],0))</f>
        <v>A00013</v>
      </c>
      <c r="G495" s="3" t="s">
        <v>145</v>
      </c>
      <c r="H495" s="3" t="s">
        <v>144</v>
      </c>
      <c r="I495" s="3">
        <v>0</v>
      </c>
      <c r="J49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5" s="3" t="str">
        <f>RIGHT(Network_Connections[[#This Row],[port/protocol]],LEN(Network_Connections[[#This Row],[port/protocol]])-FIND("/",Network_Connections[[#This Row],[port/protocol]]))</f>
        <v>0-65535</v>
      </c>
      <c r="L495" s="3">
        <f t="shared" si="8"/>
        <v>0</v>
      </c>
    </row>
    <row r="496" spans="1:12" x14ac:dyDescent="0.2">
      <c r="A496" s="3" t="s">
        <v>150</v>
      </c>
      <c r="B496" s="3" t="str">
        <f xml:space="preserve"> SUBSTITUTE(RIGHT(SUBSTITUTE(Network_Connections[[#This Row],[from]],"_",REPT("*",10)),10),"*","")</f>
        <v>WIFI2</v>
      </c>
      <c r="C496" s="3" t="str">
        <f>INDEX(Assets[Asset_ID],MATCH(Network_Connections[[#This Row],[From1]],Assets[name],0))</f>
        <v>A00021</v>
      </c>
      <c r="D496" s="3" t="s">
        <v>157</v>
      </c>
      <c r="E496" s="3" t="str">
        <f xml:space="preserve"> SUBSTITUTE(RIGHT(SUBSTITUTE(Network_Connections[[#This Row],[to]],"_",REPT("*",10)),10),"*","")</f>
        <v>WS1</v>
      </c>
      <c r="F496" s="3" t="str">
        <f>INDEX(Assets[Asset_ID],MATCH(Network_Connections[[#This Row],[From2]],Assets[name],0))</f>
        <v>A00014</v>
      </c>
      <c r="G496" s="3" t="s">
        <v>145</v>
      </c>
      <c r="H496" s="3" t="s">
        <v>144</v>
      </c>
      <c r="I496" s="3">
        <v>0</v>
      </c>
      <c r="J49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6" s="3" t="str">
        <f>RIGHT(Network_Connections[[#This Row],[port/protocol]],LEN(Network_Connections[[#This Row],[port/protocol]])-FIND("/",Network_Connections[[#This Row],[port/protocol]]))</f>
        <v>0-65535</v>
      </c>
      <c r="L496" s="3">
        <f t="shared" si="8"/>
        <v>0</v>
      </c>
    </row>
    <row r="497" spans="1:12" x14ac:dyDescent="0.2">
      <c r="A497" s="3" t="s">
        <v>150</v>
      </c>
      <c r="B497" s="3" t="str">
        <f xml:space="preserve"> SUBSTITUTE(RIGHT(SUBSTITUTE(Network_Connections[[#This Row],[from]],"_",REPT("*",10)),10),"*","")</f>
        <v>WIFI2</v>
      </c>
      <c r="C497" s="3" t="str">
        <f>INDEX(Assets[Asset_ID],MATCH(Network_Connections[[#This Row],[From1]],Assets[name],0))</f>
        <v>A00021</v>
      </c>
      <c r="D497" s="3" t="s">
        <v>156</v>
      </c>
      <c r="E497" s="3" t="str">
        <f xml:space="preserve"> SUBSTITUTE(RIGHT(SUBSTITUTE(Network_Connections[[#This Row],[to]],"_",REPT("*",10)),10),"*","")</f>
        <v>FW3</v>
      </c>
      <c r="F497" s="3" t="str">
        <f>INDEX(Assets[Asset_ID],MATCH(Network_Connections[[#This Row],[From2]],Assets[name],0))</f>
        <v>A00015</v>
      </c>
      <c r="G497" s="3" t="s">
        <v>145</v>
      </c>
      <c r="H497" s="3" t="s">
        <v>144</v>
      </c>
      <c r="I497" s="3">
        <v>0</v>
      </c>
      <c r="J49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7" s="3" t="str">
        <f>RIGHT(Network_Connections[[#This Row],[port/protocol]],LEN(Network_Connections[[#This Row],[port/protocol]])-FIND("/",Network_Connections[[#This Row],[port/protocol]]))</f>
        <v>0-65535</v>
      </c>
      <c r="L497" s="3">
        <f t="shared" si="8"/>
        <v>0</v>
      </c>
    </row>
    <row r="498" spans="1:12" x14ac:dyDescent="0.2">
      <c r="A498" s="3" t="s">
        <v>150</v>
      </c>
      <c r="B498" s="3" t="str">
        <f xml:space="preserve"> SUBSTITUTE(RIGHT(SUBSTITUTE(Network_Connections[[#This Row],[from]],"_",REPT("*",10)),10),"*","")</f>
        <v>WIFI2</v>
      </c>
      <c r="C498" s="3" t="str">
        <f>INDEX(Assets[Asset_ID],MATCH(Network_Connections[[#This Row],[From1]],Assets[name],0))</f>
        <v>A00021</v>
      </c>
      <c r="D498" s="3" t="s">
        <v>155</v>
      </c>
      <c r="E498" s="3" t="str">
        <f xml:space="preserve"> SUBSTITUTE(RIGHT(SUBSTITUTE(Network_Connections[[#This Row],[to]],"_",REPT("*",10)),10),"*","")</f>
        <v>SW2</v>
      </c>
      <c r="F498" s="3" t="str">
        <f>INDEX(Assets[Asset_ID],MATCH(Network_Connections[[#This Row],[From2]],Assets[name],0))</f>
        <v>A00016</v>
      </c>
      <c r="G498" s="3" t="s">
        <v>145</v>
      </c>
      <c r="H498" s="3" t="s">
        <v>144</v>
      </c>
      <c r="I498" s="3">
        <v>0</v>
      </c>
      <c r="J49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8" s="3" t="str">
        <f>RIGHT(Network_Connections[[#This Row],[port/protocol]],LEN(Network_Connections[[#This Row],[port/protocol]])-FIND("/",Network_Connections[[#This Row],[port/protocol]]))</f>
        <v>0-65535</v>
      </c>
      <c r="L498" s="3">
        <f t="shared" si="8"/>
        <v>0</v>
      </c>
    </row>
    <row r="499" spans="1:12" x14ac:dyDescent="0.2">
      <c r="A499" s="3" t="s">
        <v>150</v>
      </c>
      <c r="B499" s="3" t="str">
        <f xml:space="preserve"> SUBSTITUTE(RIGHT(SUBSTITUTE(Network_Connections[[#This Row],[from]],"_",REPT("*",10)),10),"*","")</f>
        <v>WIFI2</v>
      </c>
      <c r="C499" s="3" t="str">
        <f>INDEX(Assets[Asset_ID],MATCH(Network_Connections[[#This Row],[From1]],Assets[name],0))</f>
        <v>A00021</v>
      </c>
      <c r="D499" s="3" t="s">
        <v>154</v>
      </c>
      <c r="E499" s="3" t="str">
        <f xml:space="preserve"> SUBSTITUTE(RIGHT(SUBSTITUTE(Network_Connections[[#This Row],[to]],"_",REPT("*",10)),10),"*","")</f>
        <v>WS2</v>
      </c>
      <c r="F499" s="3" t="str">
        <f>INDEX(Assets[Asset_ID],MATCH(Network_Connections[[#This Row],[From2]],Assets[name],0))</f>
        <v>A00017</v>
      </c>
      <c r="G499" s="3" t="s">
        <v>145</v>
      </c>
      <c r="H499" s="3" t="s">
        <v>144</v>
      </c>
      <c r="I499" s="3">
        <v>0</v>
      </c>
      <c r="J49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499" s="3" t="str">
        <f>RIGHT(Network_Connections[[#This Row],[port/protocol]],LEN(Network_Connections[[#This Row],[port/protocol]])-FIND("/",Network_Connections[[#This Row],[port/protocol]]))</f>
        <v>0-65535</v>
      </c>
      <c r="L499" s="3">
        <f t="shared" si="8"/>
        <v>0</v>
      </c>
    </row>
    <row r="500" spans="1:12" x14ac:dyDescent="0.2">
      <c r="A500" s="3" t="s">
        <v>150</v>
      </c>
      <c r="B500" s="3" t="str">
        <f xml:space="preserve"> SUBSTITUTE(RIGHT(SUBSTITUTE(Network_Connections[[#This Row],[from]],"_",REPT("*",10)),10),"*","")</f>
        <v>WIFI2</v>
      </c>
      <c r="C500" s="3" t="str">
        <f>INDEX(Assets[Asset_ID],MATCH(Network_Connections[[#This Row],[From1]],Assets[name],0))</f>
        <v>A00021</v>
      </c>
      <c r="D500" s="3" t="s">
        <v>153</v>
      </c>
      <c r="E500" s="3" t="str">
        <f xml:space="preserve"> SUBSTITUTE(RIGHT(SUBSTITUTE(Network_Connections[[#This Row],[to]],"_",REPT("*",10)),10),"*","")</f>
        <v>WS3</v>
      </c>
      <c r="F500" s="3" t="str">
        <f>INDEX(Assets[Asset_ID],MATCH(Network_Connections[[#This Row],[From2]],Assets[name],0))</f>
        <v>A00018</v>
      </c>
      <c r="G500" s="3" t="s">
        <v>145</v>
      </c>
      <c r="H500" s="3" t="s">
        <v>144</v>
      </c>
      <c r="I500" s="3">
        <v>0</v>
      </c>
      <c r="J50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00" s="3" t="str">
        <f>RIGHT(Network_Connections[[#This Row],[port/protocol]],LEN(Network_Connections[[#This Row],[port/protocol]])-FIND("/",Network_Connections[[#This Row],[port/protocol]]))</f>
        <v>0-65535</v>
      </c>
      <c r="L500" s="3">
        <f t="shared" si="8"/>
        <v>0</v>
      </c>
    </row>
    <row r="501" spans="1:12" x14ac:dyDescent="0.2">
      <c r="A501" s="3" t="s">
        <v>150</v>
      </c>
      <c r="B501" s="3" t="str">
        <f xml:space="preserve"> SUBSTITUTE(RIGHT(SUBSTITUTE(Network_Connections[[#This Row],[from]],"_",REPT("*",10)),10),"*","")</f>
        <v>WIFI2</v>
      </c>
      <c r="C501" s="3" t="str">
        <f>INDEX(Assets[Asset_ID],MATCH(Network_Connections[[#This Row],[From1]],Assets[name],0))</f>
        <v>A00021</v>
      </c>
      <c r="D501" s="3" t="s">
        <v>152</v>
      </c>
      <c r="E501" s="3" t="str">
        <f xml:space="preserve"> SUBSTITUTE(RIGHT(SUBSTITUTE(Network_Connections[[#This Row],[to]],"_",REPT("*",10)),10),"*","")</f>
        <v>WS4</v>
      </c>
      <c r="F501" s="3" t="str">
        <f>INDEX(Assets[Asset_ID],MATCH(Network_Connections[[#This Row],[From2]],Assets[name],0))</f>
        <v>A00019</v>
      </c>
      <c r="G501" s="3" t="s">
        <v>145</v>
      </c>
      <c r="H501" s="3" t="s">
        <v>144</v>
      </c>
      <c r="I501" s="3">
        <v>0</v>
      </c>
      <c r="J50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01" s="3" t="str">
        <f>RIGHT(Network_Connections[[#This Row],[port/protocol]],LEN(Network_Connections[[#This Row],[port/protocol]])-FIND("/",Network_Connections[[#This Row],[port/protocol]]))</f>
        <v>0-65535</v>
      </c>
      <c r="L501" s="3">
        <f t="shared" si="8"/>
        <v>0</v>
      </c>
    </row>
    <row r="502" spans="1:12" x14ac:dyDescent="0.2">
      <c r="A502" s="3" t="s">
        <v>150</v>
      </c>
      <c r="B502" s="3" t="str">
        <f xml:space="preserve"> SUBSTITUTE(RIGHT(SUBSTITUTE(Network_Connections[[#This Row],[from]],"_",REPT("*",10)),10),"*","")</f>
        <v>WIFI2</v>
      </c>
      <c r="C502" s="3" t="str">
        <f>INDEX(Assets[Asset_ID],MATCH(Network_Connections[[#This Row],[From1]],Assets[name],0))</f>
        <v>A00021</v>
      </c>
      <c r="D502" s="3" t="s">
        <v>151</v>
      </c>
      <c r="E502" s="3" t="str">
        <f xml:space="preserve"> SUBSTITUTE(RIGHT(SUBSTITUTE(Network_Connections[[#This Row],[to]],"_",REPT("*",10)),10),"*","")</f>
        <v>FW4</v>
      </c>
      <c r="F502" s="3" t="str">
        <f>INDEX(Assets[Asset_ID],MATCH(Network_Connections[[#This Row],[From2]],Assets[name],0))</f>
        <v>A00020</v>
      </c>
      <c r="G502" s="3" t="s">
        <v>145</v>
      </c>
      <c r="H502" s="3" t="s">
        <v>144</v>
      </c>
      <c r="I502" s="3">
        <v>1</v>
      </c>
      <c r="J50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"A00021"-&gt;"A00020"@00:("IP", "0-65535");</v>
      </c>
      <c r="K502" s="3" t="str">
        <f>RIGHT(Network_Connections[[#This Row],[port/protocol]],LEN(Network_Connections[[#This Row],[port/protocol]])-FIND("/",Network_Connections[[#This Row],[port/protocol]]))</f>
        <v>0-65535</v>
      </c>
      <c r="L502" s="3">
        <f t="shared" si="8"/>
        <v>0</v>
      </c>
    </row>
    <row r="503" spans="1:12" x14ac:dyDescent="0.2">
      <c r="A503" s="3" t="s">
        <v>150</v>
      </c>
      <c r="B503" s="3" t="str">
        <f xml:space="preserve"> SUBSTITUTE(RIGHT(SUBSTITUTE(Network_Connections[[#This Row],[from]],"_",REPT("*",10)),10),"*","")</f>
        <v>WIFI2</v>
      </c>
      <c r="C503" s="3" t="str">
        <f>INDEX(Assets[Asset_ID],MATCH(Network_Connections[[#This Row],[From1]],Assets[name],0))</f>
        <v>A00021</v>
      </c>
      <c r="D503" s="3" t="s">
        <v>149</v>
      </c>
      <c r="E503" s="3" t="str">
        <f xml:space="preserve"> SUBSTITUTE(RIGHT(SUBSTITUTE(Network_Connections[[#This Row],[to]],"_",REPT("*",10)),10),"*","")</f>
        <v>WS5</v>
      </c>
      <c r="F503" s="3" t="str">
        <f>INDEX(Assets[Asset_ID],MATCH(Network_Connections[[#This Row],[From2]],Assets[name],0))</f>
        <v>A00022</v>
      </c>
      <c r="G503" s="3" t="s">
        <v>145</v>
      </c>
      <c r="H503" s="3" t="s">
        <v>144</v>
      </c>
      <c r="I503" s="3">
        <v>1</v>
      </c>
      <c r="J50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"A00021"-&gt;"A00022"@00:("IP", "0-65535");</v>
      </c>
      <c r="K503" s="3" t="str">
        <f>RIGHT(Network_Connections[[#This Row],[port/protocol]],LEN(Network_Connections[[#This Row],[port/protocol]])-FIND("/",Network_Connections[[#This Row],[port/protocol]]))</f>
        <v>0-65535</v>
      </c>
      <c r="L503" s="3">
        <f t="shared" si="8"/>
        <v>0</v>
      </c>
    </row>
    <row r="504" spans="1:12" x14ac:dyDescent="0.2">
      <c r="A504" s="3" t="s">
        <v>150</v>
      </c>
      <c r="B504" s="3" t="str">
        <f xml:space="preserve"> SUBSTITUTE(RIGHT(SUBSTITUTE(Network_Connections[[#This Row],[from]],"_",REPT("*",10)),10),"*","")</f>
        <v>WIFI2</v>
      </c>
      <c r="C504" s="3" t="str">
        <f>INDEX(Assets[Asset_ID],MATCH(Network_Connections[[#This Row],[From1]],Assets[name],0))</f>
        <v>A00021</v>
      </c>
      <c r="D504" s="3" t="s">
        <v>148</v>
      </c>
      <c r="E504" s="3" t="str">
        <f xml:space="preserve"> SUBSTITUTE(RIGHT(SUBSTITUTE(Network_Connections[[#This Row],[to]],"_",REPT("*",10)),10),"*","")</f>
        <v>WS6</v>
      </c>
      <c r="F504" s="3" t="str">
        <f>INDEX(Assets[Asset_ID],MATCH(Network_Connections[[#This Row],[From2]],Assets[name],0))</f>
        <v>A00023</v>
      </c>
      <c r="G504" s="3" t="s">
        <v>145</v>
      </c>
      <c r="H504" s="3" t="s">
        <v>144</v>
      </c>
      <c r="I504" s="3">
        <v>1</v>
      </c>
      <c r="J50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"A00021"-&gt;"A00023"@00:("IP", "0-65535");</v>
      </c>
      <c r="K504" s="3" t="str">
        <f>RIGHT(Network_Connections[[#This Row],[port/protocol]],LEN(Network_Connections[[#This Row],[port/protocol]])-FIND("/",Network_Connections[[#This Row],[port/protocol]]))</f>
        <v>0-65535</v>
      </c>
      <c r="L504" s="3">
        <f t="shared" si="8"/>
        <v>0</v>
      </c>
    </row>
    <row r="505" spans="1:12" x14ac:dyDescent="0.2">
      <c r="A505" s="3" t="s">
        <v>150</v>
      </c>
      <c r="B505" s="3" t="str">
        <f xml:space="preserve"> SUBSTITUTE(RIGHT(SUBSTITUTE(Network_Connections[[#This Row],[from]],"_",REPT("*",10)),10),"*","")</f>
        <v>WIFI2</v>
      </c>
      <c r="C505" s="3" t="str">
        <f>INDEX(Assets[Asset_ID],MATCH(Network_Connections[[#This Row],[From1]],Assets[name],0))</f>
        <v>A00021</v>
      </c>
      <c r="D505" s="3" t="s">
        <v>146</v>
      </c>
      <c r="E505" s="3" t="str">
        <f xml:space="preserve"> SUBSTITUTE(RIGHT(SUBSTITUTE(Network_Connections[[#This Row],[to]],"_",REPT("*",10)),10),"*","")</f>
        <v>WS7</v>
      </c>
      <c r="F505" s="3" t="str">
        <f>INDEX(Assets[Asset_ID],MATCH(Network_Connections[[#This Row],[From2]],Assets[name],0))</f>
        <v>A00024</v>
      </c>
      <c r="G505" s="3" t="s">
        <v>145</v>
      </c>
      <c r="H505" s="3" t="s">
        <v>144</v>
      </c>
      <c r="I505" s="3">
        <v>0</v>
      </c>
      <c r="J50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05" s="3" t="str">
        <f>RIGHT(Network_Connections[[#This Row],[port/protocol]],LEN(Network_Connections[[#This Row],[port/protocol]])-FIND("/",Network_Connections[[#This Row],[port/protocol]]))</f>
        <v>0-65535</v>
      </c>
      <c r="L505" s="3">
        <f t="shared" si="8"/>
        <v>0</v>
      </c>
    </row>
    <row r="506" spans="1:12" x14ac:dyDescent="0.2">
      <c r="A506" s="3" t="s">
        <v>150</v>
      </c>
      <c r="B506" s="3" t="str">
        <f xml:space="preserve"> SUBSTITUTE(RIGHT(SUBSTITUTE(Network_Connections[[#This Row],[from]],"_",REPT("*",10)),10),"*","")</f>
        <v>WIFI2</v>
      </c>
      <c r="C506" s="3" t="str">
        <f>INDEX(Assets[Asset_ID],MATCH(Network_Connections[[#This Row],[From1]],Assets[name],0))</f>
        <v>A00021</v>
      </c>
      <c r="D506" s="3" t="s">
        <v>147</v>
      </c>
      <c r="E506" s="3" t="str">
        <f xml:space="preserve"> SUBSTITUTE(RIGHT(SUBSTITUTE(Network_Connections[[#This Row],[to]],"_",REPT("*",10)),10),"*","")</f>
        <v>WS8</v>
      </c>
      <c r="F506" s="3" t="str">
        <f>INDEX(Assets[Asset_ID],MATCH(Network_Connections[[#This Row],[From2]],Assets[name],0))</f>
        <v>A00025</v>
      </c>
      <c r="G506" s="3" t="s">
        <v>145</v>
      </c>
      <c r="H506" s="3" t="s">
        <v>144</v>
      </c>
      <c r="I506" s="3">
        <v>0</v>
      </c>
      <c r="J50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06" s="3" t="str">
        <f>RIGHT(Network_Connections[[#This Row],[port/protocol]],LEN(Network_Connections[[#This Row],[port/protocol]])-FIND("/",Network_Connections[[#This Row],[port/protocol]]))</f>
        <v>0-65535</v>
      </c>
      <c r="L506" s="3">
        <f t="shared" si="8"/>
        <v>0</v>
      </c>
    </row>
    <row r="507" spans="1:12" x14ac:dyDescent="0.2">
      <c r="A507" s="3" t="s">
        <v>149</v>
      </c>
      <c r="B507" s="3" t="str">
        <f xml:space="preserve"> SUBSTITUTE(RIGHT(SUBSTITUTE(Network_Connections[[#This Row],[from]],"_",REPT("*",10)),10),"*","")</f>
        <v>WS5</v>
      </c>
      <c r="C507" s="3" t="str">
        <f>INDEX(Assets[Asset_ID],MATCH(Network_Connections[[#This Row],[From1]],Assets[name],0))</f>
        <v>A00022</v>
      </c>
      <c r="D507" s="3" t="s">
        <v>171</v>
      </c>
      <c r="E507" s="3" t="str">
        <f xml:space="preserve"> SUBSTITUTE(RIGHT(SUBSTITUTE(Network_Connections[[#This Row],[to]],"_",REPT("*",10)),10),"*","")</f>
        <v>FW1</v>
      </c>
      <c r="F507" s="3" t="str">
        <f>INDEX(Assets[Asset_ID],MATCH(Network_Connections[[#This Row],[From2]],Assets[name],0))</f>
        <v>A00001</v>
      </c>
      <c r="G507" s="3" t="s">
        <v>145</v>
      </c>
      <c r="H507" s="3" t="s">
        <v>144</v>
      </c>
      <c r="I507" s="3">
        <v>0</v>
      </c>
      <c r="J50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07" s="3" t="str">
        <f>RIGHT(Network_Connections[[#This Row],[port/protocol]],LEN(Network_Connections[[#This Row],[port/protocol]])-FIND("/",Network_Connections[[#This Row],[port/protocol]]))</f>
        <v>0-65535</v>
      </c>
      <c r="L507" s="3">
        <f t="shared" si="8"/>
        <v>0</v>
      </c>
    </row>
    <row r="508" spans="1:12" x14ac:dyDescent="0.2">
      <c r="A508" s="3" t="s">
        <v>149</v>
      </c>
      <c r="B508" s="3" t="str">
        <f xml:space="preserve"> SUBSTITUTE(RIGHT(SUBSTITUTE(Network_Connections[[#This Row],[from]],"_",REPT("*",10)),10),"*","")</f>
        <v>WS5</v>
      </c>
      <c r="C508" s="3" t="str">
        <f>INDEX(Assets[Asset_ID],MATCH(Network_Connections[[#This Row],[From1]],Assets[name],0))</f>
        <v>A00022</v>
      </c>
      <c r="D508" s="3" t="s">
        <v>170</v>
      </c>
      <c r="E508" s="3" t="str">
        <f xml:space="preserve"> SUBSTITUTE(RIGHT(SUBSTITUTE(Network_Connections[[#This Row],[to]],"_",REPT("*",10)),10),"*","")</f>
        <v>VPNSRV</v>
      </c>
      <c r="F508" s="3" t="str">
        <f>INDEX(Assets[Asset_ID],MATCH(Network_Connections[[#This Row],[From2]],Assets[name],0))</f>
        <v>A00002</v>
      </c>
      <c r="G508" s="3" t="s">
        <v>145</v>
      </c>
      <c r="H508" s="3" t="s">
        <v>144</v>
      </c>
      <c r="I508" s="3">
        <v>0</v>
      </c>
      <c r="J50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08" s="3" t="str">
        <f>RIGHT(Network_Connections[[#This Row],[port/protocol]],LEN(Network_Connections[[#This Row],[port/protocol]])-FIND("/",Network_Connections[[#This Row],[port/protocol]]))</f>
        <v>0-65535</v>
      </c>
      <c r="L508" s="3">
        <f t="shared" si="8"/>
        <v>0</v>
      </c>
    </row>
    <row r="509" spans="1:12" x14ac:dyDescent="0.2">
      <c r="A509" s="3" t="s">
        <v>149</v>
      </c>
      <c r="B509" s="3" t="str">
        <f xml:space="preserve"> SUBSTITUTE(RIGHT(SUBSTITUTE(Network_Connections[[#This Row],[from]],"_",REPT("*",10)),10),"*","")</f>
        <v>WS5</v>
      </c>
      <c r="C509" s="3" t="str">
        <f>INDEX(Assets[Asset_ID],MATCH(Network_Connections[[#This Row],[From1]],Assets[name],0))</f>
        <v>A00022</v>
      </c>
      <c r="D509" s="3" t="s">
        <v>169</v>
      </c>
      <c r="E509" s="3" t="str">
        <f xml:space="preserve"> SUBSTITUTE(RIGHT(SUBSTITUTE(Network_Connections[[#This Row],[to]],"_",REPT("*",10)),10),"*","")</f>
        <v>WebSRV1</v>
      </c>
      <c r="F509" s="3" t="str">
        <f>INDEX(Assets[Asset_ID],MATCH(Network_Connections[[#This Row],[From2]],Assets[name],0))</f>
        <v>A00003</v>
      </c>
      <c r="G509" s="3" t="s">
        <v>145</v>
      </c>
      <c r="H509" s="3" t="s">
        <v>167</v>
      </c>
      <c r="I509" s="3">
        <v>1</v>
      </c>
      <c r="J50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"A00022"-&gt;"A00003"@00:("TCP", "443");</v>
      </c>
      <c r="K509" s="3" t="str">
        <f>RIGHT(Network_Connections[[#This Row],[port/protocol]],LEN(Network_Connections[[#This Row],[port/protocol]])-FIND("/",Network_Connections[[#This Row],[port/protocol]]))</f>
        <v>443</v>
      </c>
      <c r="L509" s="3">
        <f t="shared" si="8"/>
        <v>0</v>
      </c>
    </row>
    <row r="510" spans="1:12" x14ac:dyDescent="0.2">
      <c r="A510" s="3" t="s">
        <v>149</v>
      </c>
      <c r="B510" s="3" t="str">
        <f xml:space="preserve"> SUBSTITUTE(RIGHT(SUBSTITUTE(Network_Connections[[#This Row],[from]],"_",REPT("*",10)),10),"*","")</f>
        <v>WS5</v>
      </c>
      <c r="C510" s="3" t="str">
        <f>INDEX(Assets[Asset_ID],MATCH(Network_Connections[[#This Row],[From1]],Assets[name],0))</f>
        <v>A00022</v>
      </c>
      <c r="D510" s="3" t="s">
        <v>168</v>
      </c>
      <c r="E510" s="3" t="str">
        <f xml:space="preserve"> SUBSTITUTE(RIGHT(SUBSTITUTE(Network_Connections[[#This Row],[to]],"_",REPT("*",10)),10),"*","")</f>
        <v>WebSRV2</v>
      </c>
      <c r="F510" s="3" t="str">
        <f>INDEX(Assets[Asset_ID],MATCH(Network_Connections[[#This Row],[From2]],Assets[name],0))</f>
        <v>A00004</v>
      </c>
      <c r="G510" s="3" t="s">
        <v>145</v>
      </c>
      <c r="H510" s="3" t="s">
        <v>167</v>
      </c>
      <c r="I510" s="3">
        <v>1</v>
      </c>
      <c r="J51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"A00022"-&gt;"A00004"@00:("TCP", "443");</v>
      </c>
      <c r="K510" s="3" t="str">
        <f>RIGHT(Network_Connections[[#This Row],[port/protocol]],LEN(Network_Connections[[#This Row],[port/protocol]])-FIND("/",Network_Connections[[#This Row],[port/protocol]]))</f>
        <v>443</v>
      </c>
      <c r="L510" s="3">
        <f t="shared" si="8"/>
        <v>0</v>
      </c>
    </row>
    <row r="511" spans="1:12" x14ac:dyDescent="0.2">
      <c r="A511" s="3" t="s">
        <v>149</v>
      </c>
      <c r="B511" s="3" t="str">
        <f xml:space="preserve"> SUBSTITUTE(RIGHT(SUBSTITUTE(Network_Connections[[#This Row],[from]],"_",REPT("*",10)),10),"*","")</f>
        <v>WS5</v>
      </c>
      <c r="C511" s="3" t="str">
        <f>INDEX(Assets[Asset_ID],MATCH(Network_Connections[[#This Row],[From1]],Assets[name],0))</f>
        <v>A00022</v>
      </c>
      <c r="D511" s="3" t="s">
        <v>166</v>
      </c>
      <c r="E511" s="3" t="str">
        <f xml:space="preserve"> SUBSTITUTE(RIGHT(SUBSTITUTE(Network_Connections[[#This Row],[to]],"_",REPT("*",10)),10),"*","")</f>
        <v>FW2</v>
      </c>
      <c r="F511" s="3" t="str">
        <f>INDEX(Assets[Asset_ID],MATCH(Network_Connections[[#This Row],[From2]],Assets[name],0))</f>
        <v>A00005</v>
      </c>
      <c r="G511" s="3" t="s">
        <v>145</v>
      </c>
      <c r="H511" s="3" t="s">
        <v>144</v>
      </c>
      <c r="I511" s="3">
        <v>0</v>
      </c>
      <c r="J51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11" s="3" t="str">
        <f>RIGHT(Network_Connections[[#This Row],[port/protocol]],LEN(Network_Connections[[#This Row],[port/protocol]])-FIND("/",Network_Connections[[#This Row],[port/protocol]]))</f>
        <v>0-65535</v>
      </c>
      <c r="L511" s="3">
        <f t="shared" si="8"/>
        <v>0</v>
      </c>
    </row>
    <row r="512" spans="1:12" x14ac:dyDescent="0.2">
      <c r="A512" s="3" t="s">
        <v>149</v>
      </c>
      <c r="B512" s="3" t="str">
        <f xml:space="preserve"> SUBSTITUTE(RIGHT(SUBSTITUTE(Network_Connections[[#This Row],[from]],"_",REPT("*",10)),10),"*","")</f>
        <v>WS5</v>
      </c>
      <c r="C512" s="3" t="str">
        <f>INDEX(Assets[Asset_ID],MATCH(Network_Connections[[#This Row],[From1]],Assets[name],0))</f>
        <v>A00022</v>
      </c>
      <c r="D512" s="3" t="s">
        <v>165</v>
      </c>
      <c r="E512" s="3" t="str">
        <f xml:space="preserve"> SUBSTITUTE(RIGHT(SUBSTITUTE(Network_Connections[[#This Row],[to]],"_",REPT("*",10)),10),"*","")</f>
        <v>SW1</v>
      </c>
      <c r="F512" s="3" t="str">
        <f>INDEX(Assets[Asset_ID],MATCH(Network_Connections[[#This Row],[From2]],Assets[name],0))</f>
        <v>A00006</v>
      </c>
      <c r="G512" s="3" t="s">
        <v>145</v>
      </c>
      <c r="H512" s="3" t="s">
        <v>144</v>
      </c>
      <c r="I512" s="3">
        <v>0</v>
      </c>
      <c r="J51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12" s="3" t="str">
        <f>RIGHT(Network_Connections[[#This Row],[port/protocol]],LEN(Network_Connections[[#This Row],[port/protocol]])-FIND("/",Network_Connections[[#This Row],[port/protocol]]))</f>
        <v>0-65535</v>
      </c>
      <c r="L512" s="3">
        <f t="shared" si="8"/>
        <v>0</v>
      </c>
    </row>
    <row r="513" spans="1:12" x14ac:dyDescent="0.2">
      <c r="A513" s="3" t="s">
        <v>149</v>
      </c>
      <c r="B513" s="3" t="str">
        <f xml:space="preserve"> SUBSTITUTE(RIGHT(SUBSTITUTE(Network_Connections[[#This Row],[from]],"_",REPT("*",10)),10),"*","")</f>
        <v>WS5</v>
      </c>
      <c r="C513" s="3" t="str">
        <f>INDEX(Assets[Asset_ID],MATCH(Network_Connections[[#This Row],[From1]],Assets[name],0))</f>
        <v>A00022</v>
      </c>
      <c r="D513" s="3" t="s">
        <v>164</v>
      </c>
      <c r="E513" s="3" t="str">
        <f xml:space="preserve"> SUBSTITUTE(RIGHT(SUBSTITUTE(Network_Connections[[#This Row],[to]],"_",REPT("*",10)),10),"*","")</f>
        <v>AD</v>
      </c>
      <c r="F513" s="3" t="str">
        <f>INDEX(Assets[Asset_ID],MATCH(Network_Connections[[#This Row],[From2]],Assets[name],0))</f>
        <v>A00007</v>
      </c>
      <c r="G513" s="3" t="s">
        <v>145</v>
      </c>
      <c r="H513" s="3" t="s">
        <v>144</v>
      </c>
      <c r="I513" s="3">
        <v>1</v>
      </c>
      <c r="J51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"A00022"-&gt;"A00007"@00:("IP", "0-65535");</v>
      </c>
      <c r="K513" s="3" t="str">
        <f>RIGHT(Network_Connections[[#This Row],[port/protocol]],LEN(Network_Connections[[#This Row],[port/protocol]])-FIND("/",Network_Connections[[#This Row],[port/protocol]]))</f>
        <v>0-65535</v>
      </c>
      <c r="L513" s="3">
        <f t="shared" si="8"/>
        <v>0</v>
      </c>
    </row>
    <row r="514" spans="1:12" x14ac:dyDescent="0.2">
      <c r="A514" s="3" t="s">
        <v>149</v>
      </c>
      <c r="B514" s="3" t="str">
        <f xml:space="preserve"> SUBSTITUTE(RIGHT(SUBSTITUTE(Network_Connections[[#This Row],[from]],"_",REPT("*",10)),10),"*","")</f>
        <v>WS5</v>
      </c>
      <c r="C514" s="3" t="str">
        <f>INDEX(Assets[Asset_ID],MATCH(Network_Connections[[#This Row],[From1]],Assets[name],0))</f>
        <v>A00022</v>
      </c>
      <c r="D514" s="3" t="s">
        <v>163</v>
      </c>
      <c r="E514" s="3" t="str">
        <f xml:space="preserve"> SUBSTITUTE(RIGHT(SUBSTITUTE(Network_Connections[[#This Row],[to]],"_",REPT("*",10)),10),"*","")</f>
        <v>ERP</v>
      </c>
      <c r="F514" s="3" t="str">
        <f>INDEX(Assets[Asset_ID],MATCH(Network_Connections[[#This Row],[From2]],Assets[name],0))</f>
        <v>A00008</v>
      </c>
      <c r="G514" s="3" t="s">
        <v>145</v>
      </c>
      <c r="H514" s="3" t="s">
        <v>144</v>
      </c>
      <c r="I514" s="3">
        <v>1</v>
      </c>
      <c r="J51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"A00022"-&gt;"A00008"@00:("IP", "0-65535");</v>
      </c>
      <c r="K514" s="3" t="str">
        <f>RIGHT(Network_Connections[[#This Row],[port/protocol]],LEN(Network_Connections[[#This Row],[port/protocol]])-FIND("/",Network_Connections[[#This Row],[port/protocol]]))</f>
        <v>0-65535</v>
      </c>
      <c r="L514" s="3">
        <f t="shared" ref="L514:L577" si="9">IF(AND(C514=C513, F514=F513), L513+1, 0)</f>
        <v>0</v>
      </c>
    </row>
    <row r="515" spans="1:12" x14ac:dyDescent="0.2">
      <c r="A515" s="3" t="s">
        <v>149</v>
      </c>
      <c r="B515" s="3" t="str">
        <f xml:space="preserve"> SUBSTITUTE(RIGHT(SUBSTITUTE(Network_Connections[[#This Row],[from]],"_",REPT("*",10)),10),"*","")</f>
        <v>WS5</v>
      </c>
      <c r="C515" s="3" t="str">
        <f>INDEX(Assets[Asset_ID],MATCH(Network_Connections[[#This Row],[From1]],Assets[name],0))</f>
        <v>A00022</v>
      </c>
      <c r="D515" s="3" t="s">
        <v>162</v>
      </c>
      <c r="E515" s="3" t="str">
        <f xml:space="preserve"> SUBSTITUTE(RIGHT(SUBSTITUTE(Network_Connections[[#This Row],[to]],"_",REPT("*",10)),10),"*","")</f>
        <v>Banking</v>
      </c>
      <c r="F515" s="3" t="str">
        <f>INDEX(Assets[Asset_ID],MATCH(Network_Connections[[#This Row],[From2]],Assets[name],0))</f>
        <v>A00009</v>
      </c>
      <c r="G515" s="3" t="s">
        <v>145</v>
      </c>
      <c r="H515" s="3" t="s">
        <v>144</v>
      </c>
      <c r="I515" s="3">
        <v>0</v>
      </c>
      <c r="J51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15" s="3" t="str">
        <f>RIGHT(Network_Connections[[#This Row],[port/protocol]],LEN(Network_Connections[[#This Row],[port/protocol]])-FIND("/",Network_Connections[[#This Row],[port/protocol]]))</f>
        <v>0-65535</v>
      </c>
      <c r="L515" s="3">
        <f t="shared" si="9"/>
        <v>0</v>
      </c>
    </row>
    <row r="516" spans="1:12" x14ac:dyDescent="0.2">
      <c r="A516" s="3" t="s">
        <v>149</v>
      </c>
      <c r="B516" s="3" t="str">
        <f xml:space="preserve"> SUBSTITUTE(RIGHT(SUBSTITUTE(Network_Connections[[#This Row],[from]],"_",REPT("*",10)),10),"*","")</f>
        <v>WS5</v>
      </c>
      <c r="C516" s="3" t="str">
        <f>INDEX(Assets[Asset_ID],MATCH(Network_Connections[[#This Row],[From1]],Assets[name],0))</f>
        <v>A00022</v>
      </c>
      <c r="D516" s="3" t="s">
        <v>161</v>
      </c>
      <c r="E516" s="3" t="str">
        <f xml:space="preserve"> SUBSTITUTE(RIGHT(SUBSTITUTE(Network_Connections[[#This Row],[to]],"_",REPT("*",10)),10),"*","")</f>
        <v>Email</v>
      </c>
      <c r="F516" s="3" t="str">
        <f>INDEX(Assets[Asset_ID],MATCH(Network_Connections[[#This Row],[From2]],Assets[name],0))</f>
        <v>A00010</v>
      </c>
      <c r="G516" s="3" t="s">
        <v>145</v>
      </c>
      <c r="H516" s="3" t="s">
        <v>167</v>
      </c>
      <c r="I516" s="3">
        <v>1</v>
      </c>
      <c r="J51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"A00022"-&gt;"A00010"@00:("TCP", "443");</v>
      </c>
      <c r="K516" s="3" t="str">
        <f>RIGHT(Network_Connections[[#This Row],[port/protocol]],LEN(Network_Connections[[#This Row],[port/protocol]])-FIND("/",Network_Connections[[#This Row],[port/protocol]]))</f>
        <v>443</v>
      </c>
      <c r="L516" s="3">
        <f t="shared" si="9"/>
        <v>0</v>
      </c>
    </row>
    <row r="517" spans="1:12" x14ac:dyDescent="0.2">
      <c r="A517" s="3" t="s">
        <v>149</v>
      </c>
      <c r="B517" s="3" t="str">
        <f xml:space="preserve"> SUBSTITUTE(RIGHT(SUBSTITUTE(Network_Connections[[#This Row],[from]],"_",REPT("*",10)),10),"*","")</f>
        <v>WS5</v>
      </c>
      <c r="C517" s="3" t="str">
        <f>INDEX(Assets[Asset_ID],MATCH(Network_Connections[[#This Row],[From1]],Assets[name],0))</f>
        <v>A00022</v>
      </c>
      <c r="D517" s="3" t="s">
        <v>160</v>
      </c>
      <c r="E517" s="3" t="str">
        <f xml:space="preserve"> SUBSTITUTE(RIGHT(SUBSTITUTE(Network_Connections[[#This Row],[to]],"_",REPT("*",10)),10),"*","")</f>
        <v>WMS</v>
      </c>
      <c r="F517" s="3" t="str">
        <f>INDEX(Assets[Asset_ID],MATCH(Network_Connections[[#This Row],[From2]],Assets[name],0))</f>
        <v>A00011</v>
      </c>
      <c r="G517" s="3" t="s">
        <v>145</v>
      </c>
      <c r="H517" s="3" t="s">
        <v>144</v>
      </c>
      <c r="I517" s="3">
        <v>1</v>
      </c>
      <c r="J51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"A00022"-&gt;"A00011"@00:("IP", "0-65535");</v>
      </c>
      <c r="K517" s="3" t="str">
        <f>RIGHT(Network_Connections[[#This Row],[port/protocol]],LEN(Network_Connections[[#This Row],[port/protocol]])-FIND("/",Network_Connections[[#This Row],[port/protocol]]))</f>
        <v>0-65535</v>
      </c>
      <c r="L517" s="3">
        <f t="shared" si="9"/>
        <v>0</v>
      </c>
    </row>
    <row r="518" spans="1:12" x14ac:dyDescent="0.2">
      <c r="A518" s="3" t="s">
        <v>149</v>
      </c>
      <c r="B518" s="3" t="str">
        <f xml:space="preserve"> SUBSTITUTE(RIGHT(SUBSTITUTE(Network_Connections[[#This Row],[from]],"_",REPT("*",10)),10),"*","")</f>
        <v>WS5</v>
      </c>
      <c r="C518" s="3" t="str">
        <f>INDEX(Assets[Asset_ID],MATCH(Network_Connections[[#This Row],[From1]],Assets[name],0))</f>
        <v>A00022</v>
      </c>
      <c r="D518" s="3" t="s">
        <v>159</v>
      </c>
      <c r="E518" s="3" t="str">
        <f xml:space="preserve"> SUBSTITUTE(RIGHT(SUBSTITUTE(Network_Connections[[#This Row],[to]],"_",REPT("*",10)),10),"*","")</f>
        <v>CRM</v>
      </c>
      <c r="F518" s="3" t="str">
        <f>INDEX(Assets[Asset_ID],MATCH(Network_Connections[[#This Row],[From2]],Assets[name],0))</f>
        <v>A00012</v>
      </c>
      <c r="G518" s="3" t="s">
        <v>145</v>
      </c>
      <c r="H518" s="3" t="s">
        <v>167</v>
      </c>
      <c r="I518" s="3">
        <v>1</v>
      </c>
      <c r="J51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"A00022"-&gt;"A00012"@00:("TCP", "443");</v>
      </c>
      <c r="K518" s="3" t="str">
        <f>RIGHT(Network_Connections[[#This Row],[port/protocol]],LEN(Network_Connections[[#This Row],[port/protocol]])-FIND("/",Network_Connections[[#This Row],[port/protocol]]))</f>
        <v>443</v>
      </c>
      <c r="L518" s="3">
        <f t="shared" si="9"/>
        <v>0</v>
      </c>
    </row>
    <row r="519" spans="1:12" x14ac:dyDescent="0.2">
      <c r="A519" s="3" t="s">
        <v>149</v>
      </c>
      <c r="B519" s="3" t="str">
        <f xml:space="preserve"> SUBSTITUTE(RIGHT(SUBSTITUTE(Network_Connections[[#This Row],[from]],"_",REPT("*",10)),10),"*","")</f>
        <v>WS5</v>
      </c>
      <c r="C519" s="3" t="str">
        <f>INDEX(Assets[Asset_ID],MATCH(Network_Connections[[#This Row],[From1]],Assets[name],0))</f>
        <v>A00022</v>
      </c>
      <c r="D519" s="3" t="s">
        <v>158</v>
      </c>
      <c r="E519" s="3" t="str">
        <f xml:space="preserve"> SUBSTITUTE(RIGHT(SUBSTITUTE(Network_Connections[[#This Row],[to]],"_",REPT("*",10)),10),"*","")</f>
        <v>WIFI1</v>
      </c>
      <c r="F519" s="3" t="str">
        <f>INDEX(Assets[Asset_ID],MATCH(Network_Connections[[#This Row],[From2]],Assets[name],0))</f>
        <v>A00013</v>
      </c>
      <c r="G519" s="3" t="s">
        <v>145</v>
      </c>
      <c r="H519" s="3" t="s">
        <v>144</v>
      </c>
      <c r="I519" s="3">
        <v>0</v>
      </c>
      <c r="J51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19" s="3" t="str">
        <f>RIGHT(Network_Connections[[#This Row],[port/protocol]],LEN(Network_Connections[[#This Row],[port/protocol]])-FIND("/",Network_Connections[[#This Row],[port/protocol]]))</f>
        <v>0-65535</v>
      </c>
      <c r="L519" s="3">
        <f t="shared" si="9"/>
        <v>0</v>
      </c>
    </row>
    <row r="520" spans="1:12" x14ac:dyDescent="0.2">
      <c r="A520" s="3" t="s">
        <v>149</v>
      </c>
      <c r="B520" s="3" t="str">
        <f xml:space="preserve"> SUBSTITUTE(RIGHT(SUBSTITUTE(Network_Connections[[#This Row],[from]],"_",REPT("*",10)),10),"*","")</f>
        <v>WS5</v>
      </c>
      <c r="C520" s="3" t="str">
        <f>INDEX(Assets[Asset_ID],MATCH(Network_Connections[[#This Row],[From1]],Assets[name],0))</f>
        <v>A00022</v>
      </c>
      <c r="D520" s="3" t="s">
        <v>157</v>
      </c>
      <c r="E520" s="3" t="str">
        <f xml:space="preserve"> SUBSTITUTE(RIGHT(SUBSTITUTE(Network_Connections[[#This Row],[to]],"_",REPT("*",10)),10),"*","")</f>
        <v>WS1</v>
      </c>
      <c r="F520" s="3" t="str">
        <f>INDEX(Assets[Asset_ID],MATCH(Network_Connections[[#This Row],[From2]],Assets[name],0))</f>
        <v>A00014</v>
      </c>
      <c r="G520" s="3" t="s">
        <v>145</v>
      </c>
      <c r="H520" s="3" t="s">
        <v>144</v>
      </c>
      <c r="I520" s="3">
        <v>0</v>
      </c>
      <c r="J52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20" s="3" t="str">
        <f>RIGHT(Network_Connections[[#This Row],[port/protocol]],LEN(Network_Connections[[#This Row],[port/protocol]])-FIND("/",Network_Connections[[#This Row],[port/protocol]]))</f>
        <v>0-65535</v>
      </c>
      <c r="L520" s="3">
        <f t="shared" si="9"/>
        <v>0</v>
      </c>
    </row>
    <row r="521" spans="1:12" x14ac:dyDescent="0.2">
      <c r="A521" s="3" t="s">
        <v>149</v>
      </c>
      <c r="B521" s="3" t="str">
        <f xml:space="preserve"> SUBSTITUTE(RIGHT(SUBSTITUTE(Network_Connections[[#This Row],[from]],"_",REPT("*",10)),10),"*","")</f>
        <v>WS5</v>
      </c>
      <c r="C521" s="3" t="str">
        <f>INDEX(Assets[Asset_ID],MATCH(Network_Connections[[#This Row],[From1]],Assets[name],0))</f>
        <v>A00022</v>
      </c>
      <c r="D521" s="3" t="s">
        <v>156</v>
      </c>
      <c r="E521" s="3" t="str">
        <f xml:space="preserve"> SUBSTITUTE(RIGHT(SUBSTITUTE(Network_Connections[[#This Row],[to]],"_",REPT("*",10)),10),"*","")</f>
        <v>FW3</v>
      </c>
      <c r="F521" s="3" t="str">
        <f>INDEX(Assets[Asset_ID],MATCH(Network_Connections[[#This Row],[From2]],Assets[name],0))</f>
        <v>A00015</v>
      </c>
      <c r="G521" s="3" t="s">
        <v>145</v>
      </c>
      <c r="H521" s="3" t="s">
        <v>144</v>
      </c>
      <c r="I521" s="3">
        <v>0</v>
      </c>
      <c r="J52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21" s="3" t="str">
        <f>RIGHT(Network_Connections[[#This Row],[port/protocol]],LEN(Network_Connections[[#This Row],[port/protocol]])-FIND("/",Network_Connections[[#This Row],[port/protocol]]))</f>
        <v>0-65535</v>
      </c>
      <c r="L521" s="3">
        <f t="shared" si="9"/>
        <v>0</v>
      </c>
    </row>
    <row r="522" spans="1:12" x14ac:dyDescent="0.2">
      <c r="A522" s="3" t="s">
        <v>149</v>
      </c>
      <c r="B522" s="3" t="str">
        <f xml:space="preserve"> SUBSTITUTE(RIGHT(SUBSTITUTE(Network_Connections[[#This Row],[from]],"_",REPT("*",10)),10),"*","")</f>
        <v>WS5</v>
      </c>
      <c r="C522" s="3" t="str">
        <f>INDEX(Assets[Asset_ID],MATCH(Network_Connections[[#This Row],[From1]],Assets[name],0))</f>
        <v>A00022</v>
      </c>
      <c r="D522" s="3" t="s">
        <v>155</v>
      </c>
      <c r="E522" s="3" t="str">
        <f xml:space="preserve"> SUBSTITUTE(RIGHT(SUBSTITUTE(Network_Connections[[#This Row],[to]],"_",REPT("*",10)),10),"*","")</f>
        <v>SW2</v>
      </c>
      <c r="F522" s="3" t="str">
        <f>INDEX(Assets[Asset_ID],MATCH(Network_Connections[[#This Row],[From2]],Assets[name],0))</f>
        <v>A00016</v>
      </c>
      <c r="G522" s="3" t="s">
        <v>145</v>
      </c>
      <c r="H522" s="3" t="s">
        <v>144</v>
      </c>
      <c r="I522" s="3">
        <v>0</v>
      </c>
      <c r="J52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22" s="3" t="str">
        <f>RIGHT(Network_Connections[[#This Row],[port/protocol]],LEN(Network_Connections[[#This Row],[port/protocol]])-FIND("/",Network_Connections[[#This Row],[port/protocol]]))</f>
        <v>0-65535</v>
      </c>
      <c r="L522" s="3">
        <f t="shared" si="9"/>
        <v>0</v>
      </c>
    </row>
    <row r="523" spans="1:12" x14ac:dyDescent="0.2">
      <c r="A523" s="3" t="s">
        <v>149</v>
      </c>
      <c r="B523" s="3" t="str">
        <f xml:space="preserve"> SUBSTITUTE(RIGHT(SUBSTITUTE(Network_Connections[[#This Row],[from]],"_",REPT("*",10)),10),"*","")</f>
        <v>WS5</v>
      </c>
      <c r="C523" s="3" t="str">
        <f>INDEX(Assets[Asset_ID],MATCH(Network_Connections[[#This Row],[From1]],Assets[name],0))</f>
        <v>A00022</v>
      </c>
      <c r="D523" s="3" t="s">
        <v>154</v>
      </c>
      <c r="E523" s="3" t="str">
        <f xml:space="preserve"> SUBSTITUTE(RIGHT(SUBSTITUTE(Network_Connections[[#This Row],[to]],"_",REPT("*",10)),10),"*","")</f>
        <v>WS2</v>
      </c>
      <c r="F523" s="3" t="str">
        <f>INDEX(Assets[Asset_ID],MATCH(Network_Connections[[#This Row],[From2]],Assets[name],0))</f>
        <v>A00017</v>
      </c>
      <c r="G523" s="3" t="s">
        <v>145</v>
      </c>
      <c r="H523" s="3" t="s">
        <v>144</v>
      </c>
      <c r="I523" s="3">
        <v>0</v>
      </c>
      <c r="J52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23" s="3" t="str">
        <f>RIGHT(Network_Connections[[#This Row],[port/protocol]],LEN(Network_Connections[[#This Row],[port/protocol]])-FIND("/",Network_Connections[[#This Row],[port/protocol]]))</f>
        <v>0-65535</v>
      </c>
      <c r="L523" s="3">
        <f t="shared" si="9"/>
        <v>0</v>
      </c>
    </row>
    <row r="524" spans="1:12" x14ac:dyDescent="0.2">
      <c r="A524" s="3" t="s">
        <v>149</v>
      </c>
      <c r="B524" s="3" t="str">
        <f xml:space="preserve"> SUBSTITUTE(RIGHT(SUBSTITUTE(Network_Connections[[#This Row],[from]],"_",REPT("*",10)),10),"*","")</f>
        <v>WS5</v>
      </c>
      <c r="C524" s="3" t="str">
        <f>INDEX(Assets[Asset_ID],MATCH(Network_Connections[[#This Row],[From1]],Assets[name],0))</f>
        <v>A00022</v>
      </c>
      <c r="D524" s="3" t="s">
        <v>153</v>
      </c>
      <c r="E524" s="3" t="str">
        <f xml:space="preserve"> SUBSTITUTE(RIGHT(SUBSTITUTE(Network_Connections[[#This Row],[to]],"_",REPT("*",10)),10),"*","")</f>
        <v>WS3</v>
      </c>
      <c r="F524" s="3" t="str">
        <f>INDEX(Assets[Asset_ID],MATCH(Network_Connections[[#This Row],[From2]],Assets[name],0))</f>
        <v>A00018</v>
      </c>
      <c r="G524" s="3" t="s">
        <v>145</v>
      </c>
      <c r="H524" s="3" t="s">
        <v>144</v>
      </c>
      <c r="I524" s="3">
        <v>0</v>
      </c>
      <c r="J52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24" s="3" t="str">
        <f>RIGHT(Network_Connections[[#This Row],[port/protocol]],LEN(Network_Connections[[#This Row],[port/protocol]])-FIND("/",Network_Connections[[#This Row],[port/protocol]]))</f>
        <v>0-65535</v>
      </c>
      <c r="L524" s="3">
        <f t="shared" si="9"/>
        <v>0</v>
      </c>
    </row>
    <row r="525" spans="1:12" x14ac:dyDescent="0.2">
      <c r="A525" s="3" t="s">
        <v>149</v>
      </c>
      <c r="B525" s="3" t="str">
        <f xml:space="preserve"> SUBSTITUTE(RIGHT(SUBSTITUTE(Network_Connections[[#This Row],[from]],"_",REPT("*",10)),10),"*","")</f>
        <v>WS5</v>
      </c>
      <c r="C525" s="3" t="str">
        <f>INDEX(Assets[Asset_ID],MATCH(Network_Connections[[#This Row],[From1]],Assets[name],0))</f>
        <v>A00022</v>
      </c>
      <c r="D525" s="3" t="s">
        <v>152</v>
      </c>
      <c r="E525" s="3" t="str">
        <f xml:space="preserve"> SUBSTITUTE(RIGHT(SUBSTITUTE(Network_Connections[[#This Row],[to]],"_",REPT("*",10)),10),"*","")</f>
        <v>WS4</v>
      </c>
      <c r="F525" s="3" t="str">
        <f>INDEX(Assets[Asset_ID],MATCH(Network_Connections[[#This Row],[From2]],Assets[name],0))</f>
        <v>A00019</v>
      </c>
      <c r="G525" s="3" t="s">
        <v>145</v>
      </c>
      <c r="H525" s="3" t="s">
        <v>144</v>
      </c>
      <c r="I525" s="3">
        <v>0</v>
      </c>
      <c r="J52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25" s="3" t="str">
        <f>RIGHT(Network_Connections[[#This Row],[port/protocol]],LEN(Network_Connections[[#This Row],[port/protocol]])-FIND("/",Network_Connections[[#This Row],[port/protocol]]))</f>
        <v>0-65535</v>
      </c>
      <c r="L525" s="3">
        <f t="shared" si="9"/>
        <v>0</v>
      </c>
    </row>
    <row r="526" spans="1:12" x14ac:dyDescent="0.2">
      <c r="A526" s="3" t="s">
        <v>149</v>
      </c>
      <c r="B526" s="3" t="str">
        <f xml:space="preserve"> SUBSTITUTE(RIGHT(SUBSTITUTE(Network_Connections[[#This Row],[from]],"_",REPT("*",10)),10),"*","")</f>
        <v>WS5</v>
      </c>
      <c r="C526" s="3" t="str">
        <f>INDEX(Assets[Asset_ID],MATCH(Network_Connections[[#This Row],[From1]],Assets[name],0))</f>
        <v>A00022</v>
      </c>
      <c r="D526" s="3" t="s">
        <v>151</v>
      </c>
      <c r="E526" s="3" t="str">
        <f xml:space="preserve"> SUBSTITUTE(RIGHT(SUBSTITUTE(Network_Connections[[#This Row],[to]],"_",REPT("*",10)),10),"*","")</f>
        <v>FW4</v>
      </c>
      <c r="F526" s="3" t="str">
        <f>INDEX(Assets[Asset_ID],MATCH(Network_Connections[[#This Row],[From2]],Assets[name],0))</f>
        <v>A00020</v>
      </c>
      <c r="G526" s="3" t="s">
        <v>145</v>
      </c>
      <c r="H526" s="3" t="s">
        <v>144</v>
      </c>
      <c r="I526" s="3">
        <v>0</v>
      </c>
      <c r="J52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26" s="3" t="str">
        <f>RIGHT(Network_Connections[[#This Row],[port/protocol]],LEN(Network_Connections[[#This Row],[port/protocol]])-FIND("/",Network_Connections[[#This Row],[port/protocol]]))</f>
        <v>0-65535</v>
      </c>
      <c r="L526" s="3">
        <f t="shared" si="9"/>
        <v>0</v>
      </c>
    </row>
    <row r="527" spans="1:12" x14ac:dyDescent="0.2">
      <c r="A527" s="3" t="s">
        <v>149</v>
      </c>
      <c r="B527" s="3" t="str">
        <f xml:space="preserve"> SUBSTITUTE(RIGHT(SUBSTITUTE(Network_Connections[[#This Row],[from]],"_",REPT("*",10)),10),"*","")</f>
        <v>WS5</v>
      </c>
      <c r="C527" s="3" t="str">
        <f>INDEX(Assets[Asset_ID],MATCH(Network_Connections[[#This Row],[From1]],Assets[name],0))</f>
        <v>A00022</v>
      </c>
      <c r="D527" s="3" t="s">
        <v>150</v>
      </c>
      <c r="E527" s="3" t="str">
        <f xml:space="preserve"> SUBSTITUTE(RIGHT(SUBSTITUTE(Network_Connections[[#This Row],[to]],"_",REPT("*",10)),10),"*","")</f>
        <v>WIFI2</v>
      </c>
      <c r="F527" s="3" t="str">
        <f>INDEX(Assets[Asset_ID],MATCH(Network_Connections[[#This Row],[From2]],Assets[name],0))</f>
        <v>A00021</v>
      </c>
      <c r="G527" s="3" t="s">
        <v>145</v>
      </c>
      <c r="H527" s="3" t="s">
        <v>144</v>
      </c>
      <c r="I527" s="3">
        <v>1</v>
      </c>
      <c r="J52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"A00022"-&gt;"A00021"@00:("IP", "0-65535");</v>
      </c>
      <c r="K527" s="3" t="str">
        <f>RIGHT(Network_Connections[[#This Row],[port/protocol]],LEN(Network_Connections[[#This Row],[port/protocol]])-FIND("/",Network_Connections[[#This Row],[port/protocol]]))</f>
        <v>0-65535</v>
      </c>
      <c r="L527" s="3">
        <f t="shared" si="9"/>
        <v>0</v>
      </c>
    </row>
    <row r="528" spans="1:12" x14ac:dyDescent="0.2">
      <c r="A528" s="3" t="s">
        <v>149</v>
      </c>
      <c r="B528" s="3" t="str">
        <f xml:space="preserve"> SUBSTITUTE(RIGHT(SUBSTITUTE(Network_Connections[[#This Row],[from]],"_",REPT("*",10)),10),"*","")</f>
        <v>WS5</v>
      </c>
      <c r="C528" s="3" t="str">
        <f>INDEX(Assets[Asset_ID],MATCH(Network_Connections[[#This Row],[From1]],Assets[name],0))</f>
        <v>A00022</v>
      </c>
      <c r="D528" s="3" t="s">
        <v>148</v>
      </c>
      <c r="E528" s="3" t="str">
        <f xml:space="preserve"> SUBSTITUTE(RIGHT(SUBSTITUTE(Network_Connections[[#This Row],[to]],"_",REPT("*",10)),10),"*","")</f>
        <v>WS6</v>
      </c>
      <c r="F528" s="3" t="str">
        <f>INDEX(Assets[Asset_ID],MATCH(Network_Connections[[#This Row],[From2]],Assets[name],0))</f>
        <v>A00023</v>
      </c>
      <c r="G528" s="3" t="s">
        <v>145</v>
      </c>
      <c r="H528" s="3" t="s">
        <v>144</v>
      </c>
      <c r="I528" s="3">
        <v>1</v>
      </c>
      <c r="J52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"A00022"-&gt;"A00023"@00:("IP", "0-65535");</v>
      </c>
      <c r="K528" s="3" t="str">
        <f>RIGHT(Network_Connections[[#This Row],[port/protocol]],LEN(Network_Connections[[#This Row],[port/protocol]])-FIND("/",Network_Connections[[#This Row],[port/protocol]]))</f>
        <v>0-65535</v>
      </c>
      <c r="L528" s="3">
        <f t="shared" si="9"/>
        <v>0</v>
      </c>
    </row>
    <row r="529" spans="1:12" x14ac:dyDescent="0.2">
      <c r="A529" s="3" t="s">
        <v>149</v>
      </c>
      <c r="B529" s="3" t="str">
        <f xml:space="preserve"> SUBSTITUTE(RIGHT(SUBSTITUTE(Network_Connections[[#This Row],[from]],"_",REPT("*",10)),10),"*","")</f>
        <v>WS5</v>
      </c>
      <c r="C529" s="3" t="str">
        <f>INDEX(Assets[Asset_ID],MATCH(Network_Connections[[#This Row],[From1]],Assets[name],0))</f>
        <v>A00022</v>
      </c>
      <c r="D529" s="3" t="s">
        <v>146</v>
      </c>
      <c r="E529" s="3" t="str">
        <f xml:space="preserve"> SUBSTITUTE(RIGHT(SUBSTITUTE(Network_Connections[[#This Row],[to]],"_",REPT("*",10)),10),"*","")</f>
        <v>WS7</v>
      </c>
      <c r="F529" s="3" t="str">
        <f>INDEX(Assets[Asset_ID],MATCH(Network_Connections[[#This Row],[From2]],Assets[name],0))</f>
        <v>A00024</v>
      </c>
      <c r="G529" s="3" t="s">
        <v>145</v>
      </c>
      <c r="H529" s="3" t="s">
        <v>144</v>
      </c>
      <c r="I529" s="3">
        <v>0</v>
      </c>
      <c r="J52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29" s="3" t="str">
        <f>RIGHT(Network_Connections[[#This Row],[port/protocol]],LEN(Network_Connections[[#This Row],[port/protocol]])-FIND("/",Network_Connections[[#This Row],[port/protocol]]))</f>
        <v>0-65535</v>
      </c>
      <c r="L529" s="3">
        <f t="shared" si="9"/>
        <v>0</v>
      </c>
    </row>
    <row r="530" spans="1:12" x14ac:dyDescent="0.2">
      <c r="A530" s="3" t="s">
        <v>149</v>
      </c>
      <c r="B530" s="3" t="str">
        <f xml:space="preserve"> SUBSTITUTE(RIGHT(SUBSTITUTE(Network_Connections[[#This Row],[from]],"_",REPT("*",10)),10),"*","")</f>
        <v>WS5</v>
      </c>
      <c r="C530" s="3" t="str">
        <f>INDEX(Assets[Asset_ID],MATCH(Network_Connections[[#This Row],[From1]],Assets[name],0))</f>
        <v>A00022</v>
      </c>
      <c r="D530" s="3" t="s">
        <v>147</v>
      </c>
      <c r="E530" s="3" t="str">
        <f xml:space="preserve"> SUBSTITUTE(RIGHT(SUBSTITUTE(Network_Connections[[#This Row],[to]],"_",REPT("*",10)),10),"*","")</f>
        <v>WS8</v>
      </c>
      <c r="F530" s="3" t="str">
        <f>INDEX(Assets[Asset_ID],MATCH(Network_Connections[[#This Row],[From2]],Assets[name],0))</f>
        <v>A00025</v>
      </c>
      <c r="G530" s="3" t="s">
        <v>145</v>
      </c>
      <c r="H530" s="3" t="s">
        <v>144</v>
      </c>
      <c r="I530" s="3">
        <v>0</v>
      </c>
      <c r="J53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30" s="3" t="str">
        <f>RIGHT(Network_Connections[[#This Row],[port/protocol]],LEN(Network_Connections[[#This Row],[port/protocol]])-FIND("/",Network_Connections[[#This Row],[port/protocol]]))</f>
        <v>0-65535</v>
      </c>
      <c r="L530" s="3">
        <f t="shared" si="9"/>
        <v>0</v>
      </c>
    </row>
    <row r="531" spans="1:12" x14ac:dyDescent="0.2">
      <c r="A531" s="3" t="s">
        <v>148</v>
      </c>
      <c r="B531" s="3" t="str">
        <f xml:space="preserve"> SUBSTITUTE(RIGHT(SUBSTITUTE(Network_Connections[[#This Row],[from]],"_",REPT("*",10)),10),"*","")</f>
        <v>WS6</v>
      </c>
      <c r="C531" s="3" t="str">
        <f>INDEX(Assets[Asset_ID],MATCH(Network_Connections[[#This Row],[From1]],Assets[name],0))</f>
        <v>A00023</v>
      </c>
      <c r="D531" s="3" t="s">
        <v>171</v>
      </c>
      <c r="E531" s="3" t="str">
        <f xml:space="preserve"> SUBSTITUTE(RIGHT(SUBSTITUTE(Network_Connections[[#This Row],[to]],"_",REPT("*",10)),10),"*","")</f>
        <v>FW1</v>
      </c>
      <c r="F531" s="3" t="str">
        <f>INDEX(Assets[Asset_ID],MATCH(Network_Connections[[#This Row],[From2]],Assets[name],0))</f>
        <v>A00001</v>
      </c>
      <c r="G531" s="3" t="s">
        <v>145</v>
      </c>
      <c r="H531" s="3" t="s">
        <v>144</v>
      </c>
      <c r="I531" s="3">
        <v>0</v>
      </c>
      <c r="J53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31" s="3" t="str">
        <f>RIGHT(Network_Connections[[#This Row],[port/protocol]],LEN(Network_Connections[[#This Row],[port/protocol]])-FIND("/",Network_Connections[[#This Row],[port/protocol]]))</f>
        <v>0-65535</v>
      </c>
      <c r="L531" s="3">
        <f t="shared" si="9"/>
        <v>0</v>
      </c>
    </row>
    <row r="532" spans="1:12" x14ac:dyDescent="0.2">
      <c r="A532" s="3" t="s">
        <v>148</v>
      </c>
      <c r="B532" s="3" t="str">
        <f xml:space="preserve"> SUBSTITUTE(RIGHT(SUBSTITUTE(Network_Connections[[#This Row],[from]],"_",REPT("*",10)),10),"*","")</f>
        <v>WS6</v>
      </c>
      <c r="C532" s="3" t="str">
        <f>INDEX(Assets[Asset_ID],MATCH(Network_Connections[[#This Row],[From1]],Assets[name],0))</f>
        <v>A00023</v>
      </c>
      <c r="D532" s="3" t="s">
        <v>170</v>
      </c>
      <c r="E532" s="3" t="str">
        <f xml:space="preserve"> SUBSTITUTE(RIGHT(SUBSTITUTE(Network_Connections[[#This Row],[to]],"_",REPT("*",10)),10),"*","")</f>
        <v>VPNSRV</v>
      </c>
      <c r="F532" s="3" t="str">
        <f>INDEX(Assets[Asset_ID],MATCH(Network_Connections[[#This Row],[From2]],Assets[name],0))</f>
        <v>A00002</v>
      </c>
      <c r="G532" s="3" t="s">
        <v>145</v>
      </c>
      <c r="H532" s="3" t="s">
        <v>144</v>
      </c>
      <c r="I532" s="3">
        <v>0</v>
      </c>
      <c r="J53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32" s="3" t="str">
        <f>RIGHT(Network_Connections[[#This Row],[port/protocol]],LEN(Network_Connections[[#This Row],[port/protocol]])-FIND("/",Network_Connections[[#This Row],[port/protocol]]))</f>
        <v>0-65535</v>
      </c>
      <c r="L532" s="3">
        <f t="shared" si="9"/>
        <v>0</v>
      </c>
    </row>
    <row r="533" spans="1:12" x14ac:dyDescent="0.2">
      <c r="A533" s="3" t="s">
        <v>148</v>
      </c>
      <c r="B533" s="3" t="str">
        <f xml:space="preserve"> SUBSTITUTE(RIGHT(SUBSTITUTE(Network_Connections[[#This Row],[from]],"_",REPT("*",10)),10),"*","")</f>
        <v>WS6</v>
      </c>
      <c r="C533" s="3" t="str">
        <f>INDEX(Assets[Asset_ID],MATCH(Network_Connections[[#This Row],[From1]],Assets[name],0))</f>
        <v>A00023</v>
      </c>
      <c r="D533" s="3" t="s">
        <v>169</v>
      </c>
      <c r="E533" s="3" t="str">
        <f xml:space="preserve"> SUBSTITUTE(RIGHT(SUBSTITUTE(Network_Connections[[#This Row],[to]],"_",REPT("*",10)),10),"*","")</f>
        <v>WebSRV1</v>
      </c>
      <c r="F533" s="3" t="str">
        <f>INDEX(Assets[Asset_ID],MATCH(Network_Connections[[#This Row],[From2]],Assets[name],0))</f>
        <v>A00003</v>
      </c>
      <c r="G533" s="3" t="s">
        <v>145</v>
      </c>
      <c r="H533" s="3" t="s">
        <v>167</v>
      </c>
      <c r="I533" s="3">
        <v>1</v>
      </c>
      <c r="J53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"A00023"-&gt;"A00003"@00:("TCP", "443");</v>
      </c>
      <c r="K533" s="3" t="str">
        <f>RIGHT(Network_Connections[[#This Row],[port/protocol]],LEN(Network_Connections[[#This Row],[port/protocol]])-FIND("/",Network_Connections[[#This Row],[port/protocol]]))</f>
        <v>443</v>
      </c>
      <c r="L533" s="3">
        <f t="shared" si="9"/>
        <v>0</v>
      </c>
    </row>
    <row r="534" spans="1:12" x14ac:dyDescent="0.2">
      <c r="A534" s="3" t="s">
        <v>148</v>
      </c>
      <c r="B534" s="3" t="str">
        <f xml:space="preserve"> SUBSTITUTE(RIGHT(SUBSTITUTE(Network_Connections[[#This Row],[from]],"_",REPT("*",10)),10),"*","")</f>
        <v>WS6</v>
      </c>
      <c r="C534" s="3" t="str">
        <f>INDEX(Assets[Asset_ID],MATCH(Network_Connections[[#This Row],[From1]],Assets[name],0))</f>
        <v>A00023</v>
      </c>
      <c r="D534" s="3" t="s">
        <v>168</v>
      </c>
      <c r="E534" s="3" t="str">
        <f xml:space="preserve"> SUBSTITUTE(RIGHT(SUBSTITUTE(Network_Connections[[#This Row],[to]],"_",REPT("*",10)),10),"*","")</f>
        <v>WebSRV2</v>
      </c>
      <c r="F534" s="3" t="str">
        <f>INDEX(Assets[Asset_ID],MATCH(Network_Connections[[#This Row],[From2]],Assets[name],0))</f>
        <v>A00004</v>
      </c>
      <c r="G534" s="3" t="s">
        <v>145</v>
      </c>
      <c r="H534" s="3" t="s">
        <v>167</v>
      </c>
      <c r="I534" s="3">
        <v>1</v>
      </c>
      <c r="J53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"A00023"-&gt;"A00004"@00:("TCP", "443");</v>
      </c>
      <c r="K534" s="3" t="str">
        <f>RIGHT(Network_Connections[[#This Row],[port/protocol]],LEN(Network_Connections[[#This Row],[port/protocol]])-FIND("/",Network_Connections[[#This Row],[port/protocol]]))</f>
        <v>443</v>
      </c>
      <c r="L534" s="3">
        <f t="shared" si="9"/>
        <v>0</v>
      </c>
    </row>
    <row r="535" spans="1:12" x14ac:dyDescent="0.2">
      <c r="A535" s="3" t="s">
        <v>148</v>
      </c>
      <c r="B535" s="3" t="str">
        <f xml:space="preserve"> SUBSTITUTE(RIGHT(SUBSTITUTE(Network_Connections[[#This Row],[from]],"_",REPT("*",10)),10),"*","")</f>
        <v>WS6</v>
      </c>
      <c r="C535" s="3" t="str">
        <f>INDEX(Assets[Asset_ID],MATCH(Network_Connections[[#This Row],[From1]],Assets[name],0))</f>
        <v>A00023</v>
      </c>
      <c r="D535" s="3" t="s">
        <v>166</v>
      </c>
      <c r="E535" s="3" t="str">
        <f xml:space="preserve"> SUBSTITUTE(RIGHT(SUBSTITUTE(Network_Connections[[#This Row],[to]],"_",REPT("*",10)),10),"*","")</f>
        <v>FW2</v>
      </c>
      <c r="F535" s="3" t="str">
        <f>INDEX(Assets[Asset_ID],MATCH(Network_Connections[[#This Row],[From2]],Assets[name],0))</f>
        <v>A00005</v>
      </c>
      <c r="G535" s="3" t="s">
        <v>145</v>
      </c>
      <c r="H535" s="3" t="s">
        <v>144</v>
      </c>
      <c r="I535" s="3">
        <v>0</v>
      </c>
      <c r="J53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35" s="3" t="str">
        <f>RIGHT(Network_Connections[[#This Row],[port/protocol]],LEN(Network_Connections[[#This Row],[port/protocol]])-FIND("/",Network_Connections[[#This Row],[port/protocol]]))</f>
        <v>0-65535</v>
      </c>
      <c r="L535" s="3">
        <f t="shared" si="9"/>
        <v>0</v>
      </c>
    </row>
    <row r="536" spans="1:12" x14ac:dyDescent="0.2">
      <c r="A536" s="3" t="s">
        <v>148</v>
      </c>
      <c r="B536" s="3" t="str">
        <f xml:space="preserve"> SUBSTITUTE(RIGHT(SUBSTITUTE(Network_Connections[[#This Row],[from]],"_",REPT("*",10)),10),"*","")</f>
        <v>WS6</v>
      </c>
      <c r="C536" s="3" t="str">
        <f>INDEX(Assets[Asset_ID],MATCH(Network_Connections[[#This Row],[From1]],Assets[name],0))</f>
        <v>A00023</v>
      </c>
      <c r="D536" s="3" t="s">
        <v>165</v>
      </c>
      <c r="E536" s="3" t="str">
        <f xml:space="preserve"> SUBSTITUTE(RIGHT(SUBSTITUTE(Network_Connections[[#This Row],[to]],"_",REPT("*",10)),10),"*","")</f>
        <v>SW1</v>
      </c>
      <c r="F536" s="3" t="str">
        <f>INDEX(Assets[Asset_ID],MATCH(Network_Connections[[#This Row],[From2]],Assets[name],0))</f>
        <v>A00006</v>
      </c>
      <c r="G536" s="3" t="s">
        <v>145</v>
      </c>
      <c r="H536" s="3" t="s">
        <v>144</v>
      </c>
      <c r="I536" s="3">
        <v>0</v>
      </c>
      <c r="J53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36" s="3" t="str">
        <f>RIGHT(Network_Connections[[#This Row],[port/protocol]],LEN(Network_Connections[[#This Row],[port/protocol]])-FIND("/",Network_Connections[[#This Row],[port/protocol]]))</f>
        <v>0-65535</v>
      </c>
      <c r="L536" s="3">
        <f t="shared" si="9"/>
        <v>0</v>
      </c>
    </row>
    <row r="537" spans="1:12" x14ac:dyDescent="0.2">
      <c r="A537" s="3" t="s">
        <v>148</v>
      </c>
      <c r="B537" s="3" t="str">
        <f xml:space="preserve"> SUBSTITUTE(RIGHT(SUBSTITUTE(Network_Connections[[#This Row],[from]],"_",REPT("*",10)),10),"*","")</f>
        <v>WS6</v>
      </c>
      <c r="C537" s="3" t="str">
        <f>INDEX(Assets[Asset_ID],MATCH(Network_Connections[[#This Row],[From1]],Assets[name],0))</f>
        <v>A00023</v>
      </c>
      <c r="D537" s="3" t="s">
        <v>164</v>
      </c>
      <c r="E537" s="3" t="str">
        <f xml:space="preserve"> SUBSTITUTE(RIGHT(SUBSTITUTE(Network_Connections[[#This Row],[to]],"_",REPT("*",10)),10),"*","")</f>
        <v>AD</v>
      </c>
      <c r="F537" s="3" t="str">
        <f>INDEX(Assets[Asset_ID],MATCH(Network_Connections[[#This Row],[From2]],Assets[name],0))</f>
        <v>A00007</v>
      </c>
      <c r="G537" s="3" t="s">
        <v>145</v>
      </c>
      <c r="H537" s="3" t="s">
        <v>144</v>
      </c>
      <c r="I537" s="3">
        <v>1</v>
      </c>
      <c r="J53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"A00023"-&gt;"A00007"@00:("IP", "0-65535");</v>
      </c>
      <c r="K537" s="3" t="str">
        <f>RIGHT(Network_Connections[[#This Row],[port/protocol]],LEN(Network_Connections[[#This Row],[port/protocol]])-FIND("/",Network_Connections[[#This Row],[port/protocol]]))</f>
        <v>0-65535</v>
      </c>
      <c r="L537" s="3">
        <f t="shared" si="9"/>
        <v>0</v>
      </c>
    </row>
    <row r="538" spans="1:12" x14ac:dyDescent="0.2">
      <c r="A538" s="3" t="s">
        <v>148</v>
      </c>
      <c r="B538" s="3" t="str">
        <f xml:space="preserve"> SUBSTITUTE(RIGHT(SUBSTITUTE(Network_Connections[[#This Row],[from]],"_",REPT("*",10)),10),"*","")</f>
        <v>WS6</v>
      </c>
      <c r="C538" s="3" t="str">
        <f>INDEX(Assets[Asset_ID],MATCH(Network_Connections[[#This Row],[From1]],Assets[name],0))</f>
        <v>A00023</v>
      </c>
      <c r="D538" s="3" t="s">
        <v>163</v>
      </c>
      <c r="E538" s="3" t="str">
        <f xml:space="preserve"> SUBSTITUTE(RIGHT(SUBSTITUTE(Network_Connections[[#This Row],[to]],"_",REPT("*",10)),10),"*","")</f>
        <v>ERP</v>
      </c>
      <c r="F538" s="3" t="str">
        <f>INDEX(Assets[Asset_ID],MATCH(Network_Connections[[#This Row],[From2]],Assets[name],0))</f>
        <v>A00008</v>
      </c>
      <c r="G538" s="3" t="s">
        <v>145</v>
      </c>
      <c r="H538" s="3" t="s">
        <v>144</v>
      </c>
      <c r="I538" s="3">
        <v>1</v>
      </c>
      <c r="J53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"A00023"-&gt;"A00008"@00:("IP", "0-65535");</v>
      </c>
      <c r="K538" s="3" t="str">
        <f>RIGHT(Network_Connections[[#This Row],[port/protocol]],LEN(Network_Connections[[#This Row],[port/protocol]])-FIND("/",Network_Connections[[#This Row],[port/protocol]]))</f>
        <v>0-65535</v>
      </c>
      <c r="L538" s="3">
        <f t="shared" si="9"/>
        <v>0</v>
      </c>
    </row>
    <row r="539" spans="1:12" x14ac:dyDescent="0.2">
      <c r="A539" s="3" t="s">
        <v>148</v>
      </c>
      <c r="B539" s="3" t="str">
        <f xml:space="preserve"> SUBSTITUTE(RIGHT(SUBSTITUTE(Network_Connections[[#This Row],[from]],"_",REPT("*",10)),10),"*","")</f>
        <v>WS6</v>
      </c>
      <c r="C539" s="3" t="str">
        <f>INDEX(Assets[Asset_ID],MATCH(Network_Connections[[#This Row],[From1]],Assets[name],0))</f>
        <v>A00023</v>
      </c>
      <c r="D539" s="3" t="s">
        <v>162</v>
      </c>
      <c r="E539" s="3" t="str">
        <f xml:space="preserve"> SUBSTITUTE(RIGHT(SUBSTITUTE(Network_Connections[[#This Row],[to]],"_",REPT("*",10)),10),"*","")</f>
        <v>Banking</v>
      </c>
      <c r="F539" s="3" t="str">
        <f>INDEX(Assets[Asset_ID],MATCH(Network_Connections[[#This Row],[From2]],Assets[name],0))</f>
        <v>A00009</v>
      </c>
      <c r="G539" s="3" t="s">
        <v>145</v>
      </c>
      <c r="H539" s="3" t="s">
        <v>144</v>
      </c>
      <c r="I539" s="3">
        <v>0</v>
      </c>
      <c r="J53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39" s="3" t="str">
        <f>RIGHT(Network_Connections[[#This Row],[port/protocol]],LEN(Network_Connections[[#This Row],[port/protocol]])-FIND("/",Network_Connections[[#This Row],[port/protocol]]))</f>
        <v>0-65535</v>
      </c>
      <c r="L539" s="3">
        <f t="shared" si="9"/>
        <v>0</v>
      </c>
    </row>
    <row r="540" spans="1:12" x14ac:dyDescent="0.2">
      <c r="A540" s="3" t="s">
        <v>148</v>
      </c>
      <c r="B540" s="3" t="str">
        <f xml:space="preserve"> SUBSTITUTE(RIGHT(SUBSTITUTE(Network_Connections[[#This Row],[from]],"_",REPT("*",10)),10),"*","")</f>
        <v>WS6</v>
      </c>
      <c r="C540" s="3" t="str">
        <f>INDEX(Assets[Asset_ID],MATCH(Network_Connections[[#This Row],[From1]],Assets[name],0))</f>
        <v>A00023</v>
      </c>
      <c r="D540" s="3" t="s">
        <v>161</v>
      </c>
      <c r="E540" s="3" t="str">
        <f xml:space="preserve"> SUBSTITUTE(RIGHT(SUBSTITUTE(Network_Connections[[#This Row],[to]],"_",REPT("*",10)),10),"*","")</f>
        <v>Email</v>
      </c>
      <c r="F540" s="3" t="str">
        <f>INDEX(Assets[Asset_ID],MATCH(Network_Connections[[#This Row],[From2]],Assets[name],0))</f>
        <v>A00010</v>
      </c>
      <c r="G540" s="3" t="s">
        <v>145</v>
      </c>
      <c r="H540" s="3" t="s">
        <v>167</v>
      </c>
      <c r="I540" s="3">
        <v>1</v>
      </c>
      <c r="J54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"A00023"-&gt;"A00010"@00:("TCP", "443");</v>
      </c>
      <c r="K540" s="3" t="str">
        <f>RIGHT(Network_Connections[[#This Row],[port/protocol]],LEN(Network_Connections[[#This Row],[port/protocol]])-FIND("/",Network_Connections[[#This Row],[port/protocol]]))</f>
        <v>443</v>
      </c>
      <c r="L540" s="3">
        <f t="shared" si="9"/>
        <v>0</v>
      </c>
    </row>
    <row r="541" spans="1:12" x14ac:dyDescent="0.2">
      <c r="A541" s="3" t="s">
        <v>148</v>
      </c>
      <c r="B541" s="3" t="str">
        <f xml:space="preserve"> SUBSTITUTE(RIGHT(SUBSTITUTE(Network_Connections[[#This Row],[from]],"_",REPT("*",10)),10),"*","")</f>
        <v>WS6</v>
      </c>
      <c r="C541" s="3" t="str">
        <f>INDEX(Assets[Asset_ID],MATCH(Network_Connections[[#This Row],[From1]],Assets[name],0))</f>
        <v>A00023</v>
      </c>
      <c r="D541" s="3" t="s">
        <v>160</v>
      </c>
      <c r="E541" s="3" t="str">
        <f xml:space="preserve"> SUBSTITUTE(RIGHT(SUBSTITUTE(Network_Connections[[#This Row],[to]],"_",REPT("*",10)),10),"*","")</f>
        <v>WMS</v>
      </c>
      <c r="F541" s="3" t="str">
        <f>INDEX(Assets[Asset_ID],MATCH(Network_Connections[[#This Row],[From2]],Assets[name],0))</f>
        <v>A00011</v>
      </c>
      <c r="G541" s="3" t="s">
        <v>145</v>
      </c>
      <c r="H541" s="3" t="s">
        <v>144</v>
      </c>
      <c r="I541" s="3">
        <v>1</v>
      </c>
      <c r="J54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"A00023"-&gt;"A00011"@00:("IP", "0-65535");</v>
      </c>
      <c r="K541" s="3" t="str">
        <f>RIGHT(Network_Connections[[#This Row],[port/protocol]],LEN(Network_Connections[[#This Row],[port/protocol]])-FIND("/",Network_Connections[[#This Row],[port/protocol]]))</f>
        <v>0-65535</v>
      </c>
      <c r="L541" s="3">
        <f t="shared" si="9"/>
        <v>0</v>
      </c>
    </row>
    <row r="542" spans="1:12" x14ac:dyDescent="0.2">
      <c r="A542" s="3" t="s">
        <v>148</v>
      </c>
      <c r="B542" s="3" t="str">
        <f xml:space="preserve"> SUBSTITUTE(RIGHT(SUBSTITUTE(Network_Connections[[#This Row],[from]],"_",REPT("*",10)),10),"*","")</f>
        <v>WS6</v>
      </c>
      <c r="C542" s="3" t="str">
        <f>INDEX(Assets[Asset_ID],MATCH(Network_Connections[[#This Row],[From1]],Assets[name],0))</f>
        <v>A00023</v>
      </c>
      <c r="D542" s="3" t="s">
        <v>159</v>
      </c>
      <c r="E542" s="3" t="str">
        <f xml:space="preserve"> SUBSTITUTE(RIGHT(SUBSTITUTE(Network_Connections[[#This Row],[to]],"_",REPT("*",10)),10),"*","")</f>
        <v>CRM</v>
      </c>
      <c r="F542" s="3" t="str">
        <f>INDEX(Assets[Asset_ID],MATCH(Network_Connections[[#This Row],[From2]],Assets[name],0))</f>
        <v>A00012</v>
      </c>
      <c r="G542" s="3" t="s">
        <v>145</v>
      </c>
      <c r="H542" s="3" t="s">
        <v>167</v>
      </c>
      <c r="I542" s="3">
        <v>1</v>
      </c>
      <c r="J54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"A00023"-&gt;"A00012"@00:("TCP", "443");</v>
      </c>
      <c r="K542" s="3" t="str">
        <f>RIGHT(Network_Connections[[#This Row],[port/protocol]],LEN(Network_Connections[[#This Row],[port/protocol]])-FIND("/",Network_Connections[[#This Row],[port/protocol]]))</f>
        <v>443</v>
      </c>
      <c r="L542" s="3">
        <f t="shared" si="9"/>
        <v>0</v>
      </c>
    </row>
    <row r="543" spans="1:12" x14ac:dyDescent="0.2">
      <c r="A543" s="3" t="s">
        <v>148</v>
      </c>
      <c r="B543" s="3" t="str">
        <f xml:space="preserve"> SUBSTITUTE(RIGHT(SUBSTITUTE(Network_Connections[[#This Row],[from]],"_",REPT("*",10)),10),"*","")</f>
        <v>WS6</v>
      </c>
      <c r="C543" s="3" t="str">
        <f>INDEX(Assets[Asset_ID],MATCH(Network_Connections[[#This Row],[From1]],Assets[name],0))</f>
        <v>A00023</v>
      </c>
      <c r="D543" s="3" t="s">
        <v>158</v>
      </c>
      <c r="E543" s="3" t="str">
        <f xml:space="preserve"> SUBSTITUTE(RIGHT(SUBSTITUTE(Network_Connections[[#This Row],[to]],"_",REPT("*",10)),10),"*","")</f>
        <v>WIFI1</v>
      </c>
      <c r="F543" s="3" t="str">
        <f>INDEX(Assets[Asset_ID],MATCH(Network_Connections[[#This Row],[From2]],Assets[name],0))</f>
        <v>A00013</v>
      </c>
      <c r="G543" s="3" t="s">
        <v>145</v>
      </c>
      <c r="H543" s="3" t="s">
        <v>144</v>
      </c>
      <c r="I543" s="3">
        <v>0</v>
      </c>
      <c r="J54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43" s="3" t="str">
        <f>RIGHT(Network_Connections[[#This Row],[port/protocol]],LEN(Network_Connections[[#This Row],[port/protocol]])-FIND("/",Network_Connections[[#This Row],[port/protocol]]))</f>
        <v>0-65535</v>
      </c>
      <c r="L543" s="3">
        <f t="shared" si="9"/>
        <v>0</v>
      </c>
    </row>
    <row r="544" spans="1:12" x14ac:dyDescent="0.2">
      <c r="A544" s="3" t="s">
        <v>148</v>
      </c>
      <c r="B544" s="3" t="str">
        <f xml:space="preserve"> SUBSTITUTE(RIGHT(SUBSTITUTE(Network_Connections[[#This Row],[from]],"_",REPT("*",10)),10),"*","")</f>
        <v>WS6</v>
      </c>
      <c r="C544" s="3" t="str">
        <f>INDEX(Assets[Asset_ID],MATCH(Network_Connections[[#This Row],[From1]],Assets[name],0))</f>
        <v>A00023</v>
      </c>
      <c r="D544" s="3" t="s">
        <v>157</v>
      </c>
      <c r="E544" s="3" t="str">
        <f xml:space="preserve"> SUBSTITUTE(RIGHT(SUBSTITUTE(Network_Connections[[#This Row],[to]],"_",REPT("*",10)),10),"*","")</f>
        <v>WS1</v>
      </c>
      <c r="F544" s="3" t="str">
        <f>INDEX(Assets[Asset_ID],MATCH(Network_Connections[[#This Row],[From2]],Assets[name],0))</f>
        <v>A00014</v>
      </c>
      <c r="G544" s="3" t="s">
        <v>145</v>
      </c>
      <c r="H544" s="3" t="s">
        <v>144</v>
      </c>
      <c r="I544" s="3">
        <v>0</v>
      </c>
      <c r="J54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44" s="3" t="str">
        <f>RIGHT(Network_Connections[[#This Row],[port/protocol]],LEN(Network_Connections[[#This Row],[port/protocol]])-FIND("/",Network_Connections[[#This Row],[port/protocol]]))</f>
        <v>0-65535</v>
      </c>
      <c r="L544" s="3">
        <f t="shared" si="9"/>
        <v>0</v>
      </c>
    </row>
    <row r="545" spans="1:12" x14ac:dyDescent="0.2">
      <c r="A545" s="3" t="s">
        <v>148</v>
      </c>
      <c r="B545" s="3" t="str">
        <f xml:space="preserve"> SUBSTITUTE(RIGHT(SUBSTITUTE(Network_Connections[[#This Row],[from]],"_",REPT("*",10)),10),"*","")</f>
        <v>WS6</v>
      </c>
      <c r="C545" s="3" t="str">
        <f>INDEX(Assets[Asset_ID],MATCH(Network_Connections[[#This Row],[From1]],Assets[name],0))</f>
        <v>A00023</v>
      </c>
      <c r="D545" s="3" t="s">
        <v>156</v>
      </c>
      <c r="E545" s="3" t="str">
        <f xml:space="preserve"> SUBSTITUTE(RIGHT(SUBSTITUTE(Network_Connections[[#This Row],[to]],"_",REPT("*",10)),10),"*","")</f>
        <v>FW3</v>
      </c>
      <c r="F545" s="3" t="str">
        <f>INDEX(Assets[Asset_ID],MATCH(Network_Connections[[#This Row],[From2]],Assets[name],0))</f>
        <v>A00015</v>
      </c>
      <c r="G545" s="3" t="s">
        <v>145</v>
      </c>
      <c r="H545" s="3" t="s">
        <v>144</v>
      </c>
      <c r="I545" s="3">
        <v>0</v>
      </c>
      <c r="J54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45" s="3" t="str">
        <f>RIGHT(Network_Connections[[#This Row],[port/protocol]],LEN(Network_Connections[[#This Row],[port/protocol]])-FIND("/",Network_Connections[[#This Row],[port/protocol]]))</f>
        <v>0-65535</v>
      </c>
      <c r="L545" s="3">
        <f t="shared" si="9"/>
        <v>0</v>
      </c>
    </row>
    <row r="546" spans="1:12" x14ac:dyDescent="0.2">
      <c r="A546" s="3" t="s">
        <v>148</v>
      </c>
      <c r="B546" s="3" t="str">
        <f xml:space="preserve"> SUBSTITUTE(RIGHT(SUBSTITUTE(Network_Connections[[#This Row],[from]],"_",REPT("*",10)),10),"*","")</f>
        <v>WS6</v>
      </c>
      <c r="C546" s="3" t="str">
        <f>INDEX(Assets[Asset_ID],MATCH(Network_Connections[[#This Row],[From1]],Assets[name],0))</f>
        <v>A00023</v>
      </c>
      <c r="D546" s="3" t="s">
        <v>155</v>
      </c>
      <c r="E546" s="3" t="str">
        <f xml:space="preserve"> SUBSTITUTE(RIGHT(SUBSTITUTE(Network_Connections[[#This Row],[to]],"_",REPT("*",10)),10),"*","")</f>
        <v>SW2</v>
      </c>
      <c r="F546" s="3" t="str">
        <f>INDEX(Assets[Asset_ID],MATCH(Network_Connections[[#This Row],[From2]],Assets[name],0))</f>
        <v>A00016</v>
      </c>
      <c r="G546" s="3" t="s">
        <v>145</v>
      </c>
      <c r="H546" s="3" t="s">
        <v>144</v>
      </c>
      <c r="I546" s="3">
        <v>0</v>
      </c>
      <c r="J54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46" s="3" t="str">
        <f>RIGHT(Network_Connections[[#This Row],[port/protocol]],LEN(Network_Connections[[#This Row],[port/protocol]])-FIND("/",Network_Connections[[#This Row],[port/protocol]]))</f>
        <v>0-65535</v>
      </c>
      <c r="L546" s="3">
        <f t="shared" si="9"/>
        <v>0</v>
      </c>
    </row>
    <row r="547" spans="1:12" x14ac:dyDescent="0.2">
      <c r="A547" s="3" t="s">
        <v>148</v>
      </c>
      <c r="B547" s="3" t="str">
        <f xml:space="preserve"> SUBSTITUTE(RIGHT(SUBSTITUTE(Network_Connections[[#This Row],[from]],"_",REPT("*",10)),10),"*","")</f>
        <v>WS6</v>
      </c>
      <c r="C547" s="3" t="str">
        <f>INDEX(Assets[Asset_ID],MATCH(Network_Connections[[#This Row],[From1]],Assets[name],0))</f>
        <v>A00023</v>
      </c>
      <c r="D547" s="3" t="s">
        <v>154</v>
      </c>
      <c r="E547" s="3" t="str">
        <f xml:space="preserve"> SUBSTITUTE(RIGHT(SUBSTITUTE(Network_Connections[[#This Row],[to]],"_",REPT("*",10)),10),"*","")</f>
        <v>WS2</v>
      </c>
      <c r="F547" s="3" t="str">
        <f>INDEX(Assets[Asset_ID],MATCH(Network_Connections[[#This Row],[From2]],Assets[name],0))</f>
        <v>A00017</v>
      </c>
      <c r="G547" s="3" t="s">
        <v>145</v>
      </c>
      <c r="H547" s="3" t="s">
        <v>144</v>
      </c>
      <c r="I547" s="3">
        <v>0</v>
      </c>
      <c r="J54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47" s="3" t="str">
        <f>RIGHT(Network_Connections[[#This Row],[port/protocol]],LEN(Network_Connections[[#This Row],[port/protocol]])-FIND("/",Network_Connections[[#This Row],[port/protocol]]))</f>
        <v>0-65535</v>
      </c>
      <c r="L547" s="3">
        <f t="shared" si="9"/>
        <v>0</v>
      </c>
    </row>
    <row r="548" spans="1:12" x14ac:dyDescent="0.2">
      <c r="A548" s="3" t="s">
        <v>148</v>
      </c>
      <c r="B548" s="3" t="str">
        <f xml:space="preserve"> SUBSTITUTE(RIGHT(SUBSTITUTE(Network_Connections[[#This Row],[from]],"_",REPT("*",10)),10),"*","")</f>
        <v>WS6</v>
      </c>
      <c r="C548" s="3" t="str">
        <f>INDEX(Assets[Asset_ID],MATCH(Network_Connections[[#This Row],[From1]],Assets[name],0))</f>
        <v>A00023</v>
      </c>
      <c r="D548" s="3" t="s">
        <v>153</v>
      </c>
      <c r="E548" s="3" t="str">
        <f xml:space="preserve"> SUBSTITUTE(RIGHT(SUBSTITUTE(Network_Connections[[#This Row],[to]],"_",REPT("*",10)),10),"*","")</f>
        <v>WS3</v>
      </c>
      <c r="F548" s="3" t="str">
        <f>INDEX(Assets[Asset_ID],MATCH(Network_Connections[[#This Row],[From2]],Assets[name],0))</f>
        <v>A00018</v>
      </c>
      <c r="G548" s="3" t="s">
        <v>145</v>
      </c>
      <c r="H548" s="3" t="s">
        <v>144</v>
      </c>
      <c r="I548" s="3">
        <v>0</v>
      </c>
      <c r="J54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48" s="3" t="str">
        <f>RIGHT(Network_Connections[[#This Row],[port/protocol]],LEN(Network_Connections[[#This Row],[port/protocol]])-FIND("/",Network_Connections[[#This Row],[port/protocol]]))</f>
        <v>0-65535</v>
      </c>
      <c r="L548" s="3">
        <f t="shared" si="9"/>
        <v>0</v>
      </c>
    </row>
    <row r="549" spans="1:12" x14ac:dyDescent="0.2">
      <c r="A549" s="3" t="s">
        <v>148</v>
      </c>
      <c r="B549" s="3" t="str">
        <f xml:space="preserve"> SUBSTITUTE(RIGHT(SUBSTITUTE(Network_Connections[[#This Row],[from]],"_",REPT("*",10)),10),"*","")</f>
        <v>WS6</v>
      </c>
      <c r="C549" s="3" t="str">
        <f>INDEX(Assets[Asset_ID],MATCH(Network_Connections[[#This Row],[From1]],Assets[name],0))</f>
        <v>A00023</v>
      </c>
      <c r="D549" s="3" t="s">
        <v>152</v>
      </c>
      <c r="E549" s="3" t="str">
        <f xml:space="preserve"> SUBSTITUTE(RIGHT(SUBSTITUTE(Network_Connections[[#This Row],[to]],"_",REPT("*",10)),10),"*","")</f>
        <v>WS4</v>
      </c>
      <c r="F549" s="3" t="str">
        <f>INDEX(Assets[Asset_ID],MATCH(Network_Connections[[#This Row],[From2]],Assets[name],0))</f>
        <v>A00019</v>
      </c>
      <c r="G549" s="3" t="s">
        <v>145</v>
      </c>
      <c r="H549" s="3" t="s">
        <v>144</v>
      </c>
      <c r="I549" s="3">
        <v>0</v>
      </c>
      <c r="J54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49" s="3" t="str">
        <f>RIGHT(Network_Connections[[#This Row],[port/protocol]],LEN(Network_Connections[[#This Row],[port/protocol]])-FIND("/",Network_Connections[[#This Row],[port/protocol]]))</f>
        <v>0-65535</v>
      </c>
      <c r="L549" s="3">
        <f t="shared" si="9"/>
        <v>0</v>
      </c>
    </row>
    <row r="550" spans="1:12" x14ac:dyDescent="0.2">
      <c r="A550" s="3" t="s">
        <v>148</v>
      </c>
      <c r="B550" s="3" t="str">
        <f xml:space="preserve"> SUBSTITUTE(RIGHT(SUBSTITUTE(Network_Connections[[#This Row],[from]],"_",REPT("*",10)),10),"*","")</f>
        <v>WS6</v>
      </c>
      <c r="C550" s="3" t="str">
        <f>INDEX(Assets[Asset_ID],MATCH(Network_Connections[[#This Row],[From1]],Assets[name],0))</f>
        <v>A00023</v>
      </c>
      <c r="D550" s="3" t="s">
        <v>151</v>
      </c>
      <c r="E550" s="3" t="str">
        <f xml:space="preserve"> SUBSTITUTE(RIGHT(SUBSTITUTE(Network_Connections[[#This Row],[to]],"_",REPT("*",10)),10),"*","")</f>
        <v>FW4</v>
      </c>
      <c r="F550" s="3" t="str">
        <f>INDEX(Assets[Asset_ID],MATCH(Network_Connections[[#This Row],[From2]],Assets[name],0))</f>
        <v>A00020</v>
      </c>
      <c r="G550" s="3" t="s">
        <v>145</v>
      </c>
      <c r="H550" s="3" t="s">
        <v>144</v>
      </c>
      <c r="I550" s="3">
        <v>0</v>
      </c>
      <c r="J55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50" s="3" t="str">
        <f>RIGHT(Network_Connections[[#This Row],[port/protocol]],LEN(Network_Connections[[#This Row],[port/protocol]])-FIND("/",Network_Connections[[#This Row],[port/protocol]]))</f>
        <v>0-65535</v>
      </c>
      <c r="L550" s="3">
        <f t="shared" si="9"/>
        <v>0</v>
      </c>
    </row>
    <row r="551" spans="1:12" x14ac:dyDescent="0.2">
      <c r="A551" s="3" t="s">
        <v>148</v>
      </c>
      <c r="B551" s="3" t="str">
        <f xml:space="preserve"> SUBSTITUTE(RIGHT(SUBSTITUTE(Network_Connections[[#This Row],[from]],"_",REPT("*",10)),10),"*","")</f>
        <v>WS6</v>
      </c>
      <c r="C551" s="3" t="str">
        <f>INDEX(Assets[Asset_ID],MATCH(Network_Connections[[#This Row],[From1]],Assets[name],0))</f>
        <v>A00023</v>
      </c>
      <c r="D551" s="3" t="s">
        <v>150</v>
      </c>
      <c r="E551" s="3" t="str">
        <f xml:space="preserve"> SUBSTITUTE(RIGHT(SUBSTITUTE(Network_Connections[[#This Row],[to]],"_",REPT("*",10)),10),"*","")</f>
        <v>WIFI2</v>
      </c>
      <c r="F551" s="3" t="str">
        <f>INDEX(Assets[Asset_ID],MATCH(Network_Connections[[#This Row],[From2]],Assets[name],0))</f>
        <v>A00021</v>
      </c>
      <c r="G551" s="3" t="s">
        <v>145</v>
      </c>
      <c r="H551" s="3" t="s">
        <v>144</v>
      </c>
      <c r="I551" s="3">
        <v>1</v>
      </c>
      <c r="J55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"A00023"-&gt;"A00021"@00:("IP", "0-65535");</v>
      </c>
      <c r="K551" s="3" t="str">
        <f>RIGHT(Network_Connections[[#This Row],[port/protocol]],LEN(Network_Connections[[#This Row],[port/protocol]])-FIND("/",Network_Connections[[#This Row],[port/protocol]]))</f>
        <v>0-65535</v>
      </c>
      <c r="L551" s="3">
        <f t="shared" si="9"/>
        <v>0</v>
      </c>
    </row>
    <row r="552" spans="1:12" x14ac:dyDescent="0.2">
      <c r="A552" s="3" t="s">
        <v>148</v>
      </c>
      <c r="B552" s="3" t="str">
        <f xml:space="preserve"> SUBSTITUTE(RIGHT(SUBSTITUTE(Network_Connections[[#This Row],[from]],"_",REPT("*",10)),10),"*","")</f>
        <v>WS6</v>
      </c>
      <c r="C552" s="3" t="str">
        <f>INDEX(Assets[Asset_ID],MATCH(Network_Connections[[#This Row],[From1]],Assets[name],0))</f>
        <v>A00023</v>
      </c>
      <c r="D552" s="3" t="s">
        <v>149</v>
      </c>
      <c r="E552" s="3" t="str">
        <f xml:space="preserve"> SUBSTITUTE(RIGHT(SUBSTITUTE(Network_Connections[[#This Row],[to]],"_",REPT("*",10)),10),"*","")</f>
        <v>WS5</v>
      </c>
      <c r="F552" s="3" t="str">
        <f>INDEX(Assets[Asset_ID],MATCH(Network_Connections[[#This Row],[From2]],Assets[name],0))</f>
        <v>A00022</v>
      </c>
      <c r="G552" s="3" t="s">
        <v>145</v>
      </c>
      <c r="H552" s="3" t="s">
        <v>144</v>
      </c>
      <c r="I552" s="3">
        <v>1</v>
      </c>
      <c r="J55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"A00023"-&gt;"A00022"@00:("IP", "0-65535");</v>
      </c>
      <c r="K552" s="3" t="str">
        <f>RIGHT(Network_Connections[[#This Row],[port/protocol]],LEN(Network_Connections[[#This Row],[port/protocol]])-FIND("/",Network_Connections[[#This Row],[port/protocol]]))</f>
        <v>0-65535</v>
      </c>
      <c r="L552" s="3">
        <f t="shared" si="9"/>
        <v>0</v>
      </c>
    </row>
    <row r="553" spans="1:12" x14ac:dyDescent="0.2">
      <c r="A553" s="3" t="s">
        <v>148</v>
      </c>
      <c r="B553" s="3" t="str">
        <f xml:space="preserve"> SUBSTITUTE(RIGHT(SUBSTITUTE(Network_Connections[[#This Row],[from]],"_",REPT("*",10)),10),"*","")</f>
        <v>WS6</v>
      </c>
      <c r="C553" s="3" t="str">
        <f>INDEX(Assets[Asset_ID],MATCH(Network_Connections[[#This Row],[From1]],Assets[name],0))</f>
        <v>A00023</v>
      </c>
      <c r="D553" s="3" t="s">
        <v>146</v>
      </c>
      <c r="E553" s="3" t="str">
        <f xml:space="preserve"> SUBSTITUTE(RIGHT(SUBSTITUTE(Network_Connections[[#This Row],[to]],"_",REPT("*",10)),10),"*","")</f>
        <v>WS7</v>
      </c>
      <c r="F553" s="3" t="str">
        <f>INDEX(Assets[Asset_ID],MATCH(Network_Connections[[#This Row],[From2]],Assets[name],0))</f>
        <v>A00024</v>
      </c>
      <c r="G553" s="3" t="s">
        <v>145</v>
      </c>
      <c r="H553" s="3" t="s">
        <v>144</v>
      </c>
      <c r="I553" s="3">
        <v>0</v>
      </c>
      <c r="J55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53" s="3" t="str">
        <f>RIGHT(Network_Connections[[#This Row],[port/protocol]],LEN(Network_Connections[[#This Row],[port/protocol]])-FIND("/",Network_Connections[[#This Row],[port/protocol]]))</f>
        <v>0-65535</v>
      </c>
      <c r="L553" s="3">
        <f t="shared" si="9"/>
        <v>0</v>
      </c>
    </row>
    <row r="554" spans="1:12" x14ac:dyDescent="0.2">
      <c r="A554" s="3" t="s">
        <v>148</v>
      </c>
      <c r="B554" s="3" t="str">
        <f xml:space="preserve"> SUBSTITUTE(RIGHT(SUBSTITUTE(Network_Connections[[#This Row],[from]],"_",REPT("*",10)),10),"*","")</f>
        <v>WS6</v>
      </c>
      <c r="C554" s="3" t="str">
        <f>INDEX(Assets[Asset_ID],MATCH(Network_Connections[[#This Row],[From1]],Assets[name],0))</f>
        <v>A00023</v>
      </c>
      <c r="D554" s="3" t="s">
        <v>147</v>
      </c>
      <c r="E554" s="3" t="str">
        <f xml:space="preserve"> SUBSTITUTE(RIGHT(SUBSTITUTE(Network_Connections[[#This Row],[to]],"_",REPT("*",10)),10),"*","")</f>
        <v>WS8</v>
      </c>
      <c r="F554" s="3" t="str">
        <f>INDEX(Assets[Asset_ID],MATCH(Network_Connections[[#This Row],[From2]],Assets[name],0))</f>
        <v>A00025</v>
      </c>
      <c r="G554" s="3" t="s">
        <v>145</v>
      </c>
      <c r="H554" s="3" t="s">
        <v>144</v>
      </c>
      <c r="I554" s="3">
        <v>0</v>
      </c>
      <c r="J55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54" s="3" t="str">
        <f>RIGHT(Network_Connections[[#This Row],[port/protocol]],LEN(Network_Connections[[#This Row],[port/protocol]])-FIND("/",Network_Connections[[#This Row],[port/protocol]]))</f>
        <v>0-65535</v>
      </c>
      <c r="L554" s="3">
        <f t="shared" si="9"/>
        <v>0</v>
      </c>
    </row>
    <row r="555" spans="1:12" x14ac:dyDescent="0.2">
      <c r="A555" s="3" t="s">
        <v>146</v>
      </c>
      <c r="B555" s="3" t="str">
        <f xml:space="preserve"> SUBSTITUTE(RIGHT(SUBSTITUTE(Network_Connections[[#This Row],[from]],"_",REPT("*",10)),10),"*","")</f>
        <v>WS7</v>
      </c>
      <c r="C555" s="3" t="str">
        <f>INDEX(Assets[Asset_ID],MATCH(Network_Connections[[#This Row],[From1]],Assets[name],0))</f>
        <v>A00024</v>
      </c>
      <c r="D555" s="3" t="s">
        <v>171</v>
      </c>
      <c r="E555" s="3" t="str">
        <f xml:space="preserve"> SUBSTITUTE(RIGHT(SUBSTITUTE(Network_Connections[[#This Row],[to]],"_",REPT("*",10)),10),"*","")</f>
        <v>FW1</v>
      </c>
      <c r="F555" s="3" t="str">
        <f>INDEX(Assets[Asset_ID],MATCH(Network_Connections[[#This Row],[From2]],Assets[name],0))</f>
        <v>A00001</v>
      </c>
      <c r="G555" s="3" t="s">
        <v>145</v>
      </c>
      <c r="H555" s="3" t="s">
        <v>144</v>
      </c>
      <c r="I555" s="3">
        <v>0</v>
      </c>
      <c r="J55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55" s="3" t="str">
        <f>RIGHT(Network_Connections[[#This Row],[port/protocol]],LEN(Network_Connections[[#This Row],[port/protocol]])-FIND("/",Network_Connections[[#This Row],[port/protocol]]))</f>
        <v>0-65535</v>
      </c>
      <c r="L555" s="3">
        <f t="shared" si="9"/>
        <v>0</v>
      </c>
    </row>
    <row r="556" spans="1:12" x14ac:dyDescent="0.2">
      <c r="A556" s="3" t="s">
        <v>146</v>
      </c>
      <c r="B556" s="3" t="str">
        <f xml:space="preserve"> SUBSTITUTE(RIGHT(SUBSTITUTE(Network_Connections[[#This Row],[from]],"_",REPT("*",10)),10),"*","")</f>
        <v>WS7</v>
      </c>
      <c r="C556" s="3" t="str">
        <f>INDEX(Assets[Asset_ID],MATCH(Network_Connections[[#This Row],[From1]],Assets[name],0))</f>
        <v>A00024</v>
      </c>
      <c r="D556" s="3" t="s">
        <v>170</v>
      </c>
      <c r="E556" s="3" t="str">
        <f xml:space="preserve"> SUBSTITUTE(RIGHT(SUBSTITUTE(Network_Connections[[#This Row],[to]],"_",REPT("*",10)),10),"*","")</f>
        <v>VPNSRV</v>
      </c>
      <c r="F556" s="3" t="str">
        <f>INDEX(Assets[Asset_ID],MATCH(Network_Connections[[#This Row],[From2]],Assets[name],0))</f>
        <v>A00002</v>
      </c>
      <c r="G556" s="3" t="s">
        <v>145</v>
      </c>
      <c r="H556" s="3" t="s">
        <v>167</v>
      </c>
      <c r="I556" s="3">
        <v>1</v>
      </c>
      <c r="J55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"A00024"-&gt;"A00002"@00:("TCP", "443");</v>
      </c>
      <c r="K556" s="3" t="str">
        <f>RIGHT(Network_Connections[[#This Row],[port/protocol]],LEN(Network_Connections[[#This Row],[port/protocol]])-FIND("/",Network_Connections[[#This Row],[port/protocol]]))</f>
        <v>443</v>
      </c>
      <c r="L556" s="3">
        <f t="shared" si="9"/>
        <v>0</v>
      </c>
    </row>
    <row r="557" spans="1:12" x14ac:dyDescent="0.2">
      <c r="A557" s="3" t="s">
        <v>146</v>
      </c>
      <c r="B557" s="3" t="str">
        <f xml:space="preserve"> SUBSTITUTE(RIGHT(SUBSTITUTE(Network_Connections[[#This Row],[from]],"_",REPT("*",10)),10),"*","")</f>
        <v>WS7</v>
      </c>
      <c r="C557" s="3" t="str">
        <f>INDEX(Assets[Asset_ID],MATCH(Network_Connections[[#This Row],[From1]],Assets[name],0))</f>
        <v>A00024</v>
      </c>
      <c r="D557" s="3" t="s">
        <v>170</v>
      </c>
      <c r="E557" s="3" t="str">
        <f xml:space="preserve"> SUBSTITUTE(RIGHT(SUBSTITUTE(Network_Connections[[#This Row],[to]],"_",REPT("*",10)),10),"*","")</f>
        <v>VPNSRV</v>
      </c>
      <c r="F557" s="3" t="str">
        <f>INDEX(Assets[Asset_ID],MATCH(Network_Connections[[#This Row],[From2]],Assets[name],0))</f>
        <v>A00002</v>
      </c>
      <c r="G557" s="3" t="s">
        <v>145</v>
      </c>
      <c r="H557" s="3" t="s">
        <v>213</v>
      </c>
      <c r="I557" s="3">
        <v>1</v>
      </c>
      <c r="J55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"A00024"-&gt;"A00002"@01:("UDP", "1194");</v>
      </c>
      <c r="K557" s="3" t="str">
        <f>RIGHT(Network_Connections[[#This Row],[port/protocol]],LEN(Network_Connections[[#This Row],[port/protocol]])-FIND("/",Network_Connections[[#This Row],[port/protocol]]))</f>
        <v>1194</v>
      </c>
      <c r="L557" s="3">
        <f t="shared" si="9"/>
        <v>1</v>
      </c>
    </row>
    <row r="558" spans="1:12" x14ac:dyDescent="0.2">
      <c r="A558" s="3" t="s">
        <v>146</v>
      </c>
      <c r="B558" s="3" t="str">
        <f xml:space="preserve"> SUBSTITUTE(RIGHT(SUBSTITUTE(Network_Connections[[#This Row],[from]],"_",REPT("*",10)),10),"*","")</f>
        <v>WS7</v>
      </c>
      <c r="C558" s="3" t="str">
        <f>INDEX(Assets[Asset_ID],MATCH(Network_Connections[[#This Row],[From1]],Assets[name],0))</f>
        <v>A00024</v>
      </c>
      <c r="D558" s="3" t="s">
        <v>169</v>
      </c>
      <c r="E558" s="3" t="str">
        <f xml:space="preserve"> SUBSTITUTE(RIGHT(SUBSTITUTE(Network_Connections[[#This Row],[to]],"_",REPT("*",10)),10),"*","")</f>
        <v>WebSRV1</v>
      </c>
      <c r="F558" s="3" t="str">
        <f>INDEX(Assets[Asset_ID],MATCH(Network_Connections[[#This Row],[From2]],Assets[name],0))</f>
        <v>A00003</v>
      </c>
      <c r="G558" s="3" t="s">
        <v>145</v>
      </c>
      <c r="H558" s="3" t="s">
        <v>167</v>
      </c>
      <c r="I558" s="3">
        <v>1</v>
      </c>
      <c r="J55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"A00024"-&gt;"A00003"@00:("TCP", "443");</v>
      </c>
      <c r="K558" s="3" t="str">
        <f>RIGHT(Network_Connections[[#This Row],[port/protocol]],LEN(Network_Connections[[#This Row],[port/protocol]])-FIND("/",Network_Connections[[#This Row],[port/protocol]]))</f>
        <v>443</v>
      </c>
      <c r="L558" s="3">
        <f t="shared" si="9"/>
        <v>0</v>
      </c>
    </row>
    <row r="559" spans="1:12" x14ac:dyDescent="0.2">
      <c r="A559" s="3" t="s">
        <v>146</v>
      </c>
      <c r="B559" s="3" t="str">
        <f xml:space="preserve"> SUBSTITUTE(RIGHT(SUBSTITUTE(Network_Connections[[#This Row],[from]],"_",REPT("*",10)),10),"*","")</f>
        <v>WS7</v>
      </c>
      <c r="C559" s="3" t="str">
        <f>INDEX(Assets[Asset_ID],MATCH(Network_Connections[[#This Row],[From1]],Assets[name],0))</f>
        <v>A00024</v>
      </c>
      <c r="D559" s="3" t="s">
        <v>168</v>
      </c>
      <c r="E559" s="3" t="str">
        <f xml:space="preserve"> SUBSTITUTE(RIGHT(SUBSTITUTE(Network_Connections[[#This Row],[to]],"_",REPT("*",10)),10),"*","")</f>
        <v>WebSRV2</v>
      </c>
      <c r="F559" s="3" t="str">
        <f>INDEX(Assets[Asset_ID],MATCH(Network_Connections[[#This Row],[From2]],Assets[name],0))</f>
        <v>A00004</v>
      </c>
      <c r="G559" s="3" t="s">
        <v>145</v>
      </c>
      <c r="H559" s="3" t="s">
        <v>167</v>
      </c>
      <c r="I559" s="3">
        <v>1</v>
      </c>
      <c r="J55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"A00024"-&gt;"A00004"@00:("TCP", "443");</v>
      </c>
      <c r="K559" s="3" t="str">
        <f>RIGHT(Network_Connections[[#This Row],[port/protocol]],LEN(Network_Connections[[#This Row],[port/protocol]])-FIND("/",Network_Connections[[#This Row],[port/protocol]]))</f>
        <v>443</v>
      </c>
      <c r="L559" s="3">
        <f t="shared" si="9"/>
        <v>0</v>
      </c>
    </row>
    <row r="560" spans="1:12" x14ac:dyDescent="0.2">
      <c r="A560" s="3" t="s">
        <v>146</v>
      </c>
      <c r="B560" s="3" t="str">
        <f xml:space="preserve"> SUBSTITUTE(RIGHT(SUBSTITUTE(Network_Connections[[#This Row],[from]],"_",REPT("*",10)),10),"*","")</f>
        <v>WS7</v>
      </c>
      <c r="C560" s="3" t="str">
        <f>INDEX(Assets[Asset_ID],MATCH(Network_Connections[[#This Row],[From1]],Assets[name],0))</f>
        <v>A00024</v>
      </c>
      <c r="D560" s="3" t="s">
        <v>166</v>
      </c>
      <c r="E560" s="3" t="str">
        <f xml:space="preserve"> SUBSTITUTE(RIGHT(SUBSTITUTE(Network_Connections[[#This Row],[to]],"_",REPT("*",10)),10),"*","")</f>
        <v>FW2</v>
      </c>
      <c r="F560" s="3" t="str">
        <f>INDEX(Assets[Asset_ID],MATCH(Network_Connections[[#This Row],[From2]],Assets[name],0))</f>
        <v>A00005</v>
      </c>
      <c r="G560" s="3" t="s">
        <v>145</v>
      </c>
      <c r="H560" s="3" t="s">
        <v>144</v>
      </c>
      <c r="I560" s="3">
        <v>0</v>
      </c>
      <c r="J56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0" s="3" t="str">
        <f>RIGHT(Network_Connections[[#This Row],[port/protocol]],LEN(Network_Connections[[#This Row],[port/protocol]])-FIND("/",Network_Connections[[#This Row],[port/protocol]]))</f>
        <v>0-65535</v>
      </c>
      <c r="L560" s="3">
        <f t="shared" si="9"/>
        <v>0</v>
      </c>
    </row>
    <row r="561" spans="1:12" x14ac:dyDescent="0.2">
      <c r="A561" s="3" t="s">
        <v>146</v>
      </c>
      <c r="B561" s="3" t="str">
        <f xml:space="preserve"> SUBSTITUTE(RIGHT(SUBSTITUTE(Network_Connections[[#This Row],[from]],"_",REPT("*",10)),10),"*","")</f>
        <v>WS7</v>
      </c>
      <c r="C561" s="3" t="str">
        <f>INDEX(Assets[Asset_ID],MATCH(Network_Connections[[#This Row],[From1]],Assets[name],0))</f>
        <v>A00024</v>
      </c>
      <c r="D561" s="3" t="s">
        <v>165</v>
      </c>
      <c r="E561" s="3" t="str">
        <f xml:space="preserve"> SUBSTITUTE(RIGHT(SUBSTITUTE(Network_Connections[[#This Row],[to]],"_",REPT("*",10)),10),"*","")</f>
        <v>SW1</v>
      </c>
      <c r="F561" s="3" t="str">
        <f>INDEX(Assets[Asset_ID],MATCH(Network_Connections[[#This Row],[From2]],Assets[name],0))</f>
        <v>A00006</v>
      </c>
      <c r="G561" s="3" t="s">
        <v>145</v>
      </c>
      <c r="H561" s="3" t="s">
        <v>144</v>
      </c>
      <c r="I561" s="3">
        <v>0</v>
      </c>
      <c r="J56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1" s="3" t="str">
        <f>RIGHT(Network_Connections[[#This Row],[port/protocol]],LEN(Network_Connections[[#This Row],[port/protocol]])-FIND("/",Network_Connections[[#This Row],[port/protocol]]))</f>
        <v>0-65535</v>
      </c>
      <c r="L561" s="3">
        <f t="shared" si="9"/>
        <v>0</v>
      </c>
    </row>
    <row r="562" spans="1:12" x14ac:dyDescent="0.2">
      <c r="A562" s="3" t="s">
        <v>146</v>
      </c>
      <c r="B562" s="3" t="str">
        <f xml:space="preserve"> SUBSTITUTE(RIGHT(SUBSTITUTE(Network_Connections[[#This Row],[from]],"_",REPT("*",10)),10),"*","")</f>
        <v>WS7</v>
      </c>
      <c r="C562" s="3" t="str">
        <f>INDEX(Assets[Asset_ID],MATCH(Network_Connections[[#This Row],[From1]],Assets[name],0))</f>
        <v>A00024</v>
      </c>
      <c r="D562" s="3" t="s">
        <v>164</v>
      </c>
      <c r="E562" s="3" t="str">
        <f xml:space="preserve"> SUBSTITUTE(RIGHT(SUBSTITUTE(Network_Connections[[#This Row],[to]],"_",REPT("*",10)),10),"*","")</f>
        <v>AD</v>
      </c>
      <c r="F562" s="3" t="str">
        <f>INDEX(Assets[Asset_ID],MATCH(Network_Connections[[#This Row],[From2]],Assets[name],0))</f>
        <v>A00007</v>
      </c>
      <c r="G562" s="3" t="s">
        <v>145</v>
      </c>
      <c r="H562" s="3" t="s">
        <v>144</v>
      </c>
      <c r="I562" s="3">
        <v>0</v>
      </c>
      <c r="J56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2" s="3" t="str">
        <f>RIGHT(Network_Connections[[#This Row],[port/protocol]],LEN(Network_Connections[[#This Row],[port/protocol]])-FIND("/",Network_Connections[[#This Row],[port/protocol]]))</f>
        <v>0-65535</v>
      </c>
      <c r="L562" s="3">
        <f t="shared" si="9"/>
        <v>0</v>
      </c>
    </row>
    <row r="563" spans="1:12" x14ac:dyDescent="0.2">
      <c r="A563" s="3" t="s">
        <v>146</v>
      </c>
      <c r="B563" s="3" t="str">
        <f xml:space="preserve"> SUBSTITUTE(RIGHT(SUBSTITUTE(Network_Connections[[#This Row],[from]],"_",REPT("*",10)),10),"*","")</f>
        <v>WS7</v>
      </c>
      <c r="C563" s="3" t="str">
        <f>INDEX(Assets[Asset_ID],MATCH(Network_Connections[[#This Row],[From1]],Assets[name],0))</f>
        <v>A00024</v>
      </c>
      <c r="D563" s="3" t="s">
        <v>163</v>
      </c>
      <c r="E563" s="3" t="str">
        <f xml:space="preserve"> SUBSTITUTE(RIGHT(SUBSTITUTE(Network_Connections[[#This Row],[to]],"_",REPT("*",10)),10),"*","")</f>
        <v>ERP</v>
      </c>
      <c r="F563" s="3" t="str">
        <f>INDEX(Assets[Asset_ID],MATCH(Network_Connections[[#This Row],[From2]],Assets[name],0))</f>
        <v>A00008</v>
      </c>
      <c r="G563" s="3" t="s">
        <v>145</v>
      </c>
      <c r="H563" s="3" t="s">
        <v>144</v>
      </c>
      <c r="I563" s="3">
        <v>0</v>
      </c>
      <c r="J56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3" s="3" t="str">
        <f>RIGHT(Network_Connections[[#This Row],[port/protocol]],LEN(Network_Connections[[#This Row],[port/protocol]])-FIND("/",Network_Connections[[#This Row],[port/protocol]]))</f>
        <v>0-65535</v>
      </c>
      <c r="L563" s="3">
        <f t="shared" si="9"/>
        <v>0</v>
      </c>
    </row>
    <row r="564" spans="1:12" x14ac:dyDescent="0.2">
      <c r="A564" s="3" t="s">
        <v>146</v>
      </c>
      <c r="B564" s="3" t="str">
        <f xml:space="preserve"> SUBSTITUTE(RIGHT(SUBSTITUTE(Network_Connections[[#This Row],[from]],"_",REPT("*",10)),10),"*","")</f>
        <v>WS7</v>
      </c>
      <c r="C564" s="3" t="str">
        <f>INDEX(Assets[Asset_ID],MATCH(Network_Connections[[#This Row],[From1]],Assets[name],0))</f>
        <v>A00024</v>
      </c>
      <c r="D564" s="3" t="s">
        <v>162</v>
      </c>
      <c r="E564" s="3" t="str">
        <f xml:space="preserve"> SUBSTITUTE(RIGHT(SUBSTITUTE(Network_Connections[[#This Row],[to]],"_",REPT("*",10)),10),"*","")</f>
        <v>Banking</v>
      </c>
      <c r="F564" s="3" t="str">
        <f>INDEX(Assets[Asset_ID],MATCH(Network_Connections[[#This Row],[From2]],Assets[name],0))</f>
        <v>A00009</v>
      </c>
      <c r="G564" s="3" t="s">
        <v>145</v>
      </c>
      <c r="H564" s="3" t="s">
        <v>144</v>
      </c>
      <c r="I564" s="3">
        <v>0</v>
      </c>
      <c r="J56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4" s="3" t="str">
        <f>RIGHT(Network_Connections[[#This Row],[port/protocol]],LEN(Network_Connections[[#This Row],[port/protocol]])-FIND("/",Network_Connections[[#This Row],[port/protocol]]))</f>
        <v>0-65535</v>
      </c>
      <c r="L564" s="3">
        <f t="shared" si="9"/>
        <v>0</v>
      </c>
    </row>
    <row r="565" spans="1:12" x14ac:dyDescent="0.2">
      <c r="A565" s="3" t="s">
        <v>146</v>
      </c>
      <c r="B565" s="3" t="str">
        <f xml:space="preserve"> SUBSTITUTE(RIGHT(SUBSTITUTE(Network_Connections[[#This Row],[from]],"_",REPT("*",10)),10),"*","")</f>
        <v>WS7</v>
      </c>
      <c r="C565" s="3" t="str">
        <f>INDEX(Assets[Asset_ID],MATCH(Network_Connections[[#This Row],[From1]],Assets[name],0))</f>
        <v>A00024</v>
      </c>
      <c r="D565" s="3" t="s">
        <v>161</v>
      </c>
      <c r="E565" s="3" t="str">
        <f xml:space="preserve"> SUBSTITUTE(RIGHT(SUBSTITUTE(Network_Connections[[#This Row],[to]],"_",REPT("*",10)),10),"*","")</f>
        <v>Email</v>
      </c>
      <c r="F565" s="3" t="str">
        <f>INDEX(Assets[Asset_ID],MATCH(Network_Connections[[#This Row],[From2]],Assets[name],0))</f>
        <v>A00010</v>
      </c>
      <c r="G565" s="3" t="s">
        <v>145</v>
      </c>
      <c r="H565" s="3" t="s">
        <v>144</v>
      </c>
      <c r="I565" s="3">
        <v>0</v>
      </c>
      <c r="J56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5" s="3" t="str">
        <f>RIGHT(Network_Connections[[#This Row],[port/protocol]],LEN(Network_Connections[[#This Row],[port/protocol]])-FIND("/",Network_Connections[[#This Row],[port/protocol]]))</f>
        <v>0-65535</v>
      </c>
      <c r="L565" s="3">
        <f t="shared" si="9"/>
        <v>0</v>
      </c>
    </row>
    <row r="566" spans="1:12" x14ac:dyDescent="0.2">
      <c r="A566" s="3" t="s">
        <v>146</v>
      </c>
      <c r="B566" s="3" t="str">
        <f xml:space="preserve"> SUBSTITUTE(RIGHT(SUBSTITUTE(Network_Connections[[#This Row],[from]],"_",REPT("*",10)),10),"*","")</f>
        <v>WS7</v>
      </c>
      <c r="C566" s="3" t="str">
        <f>INDEX(Assets[Asset_ID],MATCH(Network_Connections[[#This Row],[From1]],Assets[name],0))</f>
        <v>A00024</v>
      </c>
      <c r="D566" s="3" t="s">
        <v>160</v>
      </c>
      <c r="E566" s="3" t="str">
        <f xml:space="preserve"> SUBSTITUTE(RIGHT(SUBSTITUTE(Network_Connections[[#This Row],[to]],"_",REPT("*",10)),10),"*","")</f>
        <v>WMS</v>
      </c>
      <c r="F566" s="3" t="str">
        <f>INDEX(Assets[Asset_ID],MATCH(Network_Connections[[#This Row],[From2]],Assets[name],0))</f>
        <v>A00011</v>
      </c>
      <c r="G566" s="3" t="s">
        <v>145</v>
      </c>
      <c r="H566" s="3" t="s">
        <v>144</v>
      </c>
      <c r="I566" s="3">
        <v>0</v>
      </c>
      <c r="J56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6" s="3" t="str">
        <f>RIGHT(Network_Connections[[#This Row],[port/protocol]],LEN(Network_Connections[[#This Row],[port/protocol]])-FIND("/",Network_Connections[[#This Row],[port/protocol]]))</f>
        <v>0-65535</v>
      </c>
      <c r="L566" s="3">
        <f t="shared" si="9"/>
        <v>0</v>
      </c>
    </row>
    <row r="567" spans="1:12" x14ac:dyDescent="0.2">
      <c r="A567" s="3" t="s">
        <v>146</v>
      </c>
      <c r="B567" s="3" t="str">
        <f xml:space="preserve"> SUBSTITUTE(RIGHT(SUBSTITUTE(Network_Connections[[#This Row],[from]],"_",REPT("*",10)),10),"*","")</f>
        <v>WS7</v>
      </c>
      <c r="C567" s="3" t="str">
        <f>INDEX(Assets[Asset_ID],MATCH(Network_Connections[[#This Row],[From1]],Assets[name],0))</f>
        <v>A00024</v>
      </c>
      <c r="D567" s="3" t="s">
        <v>159</v>
      </c>
      <c r="E567" s="3" t="str">
        <f xml:space="preserve"> SUBSTITUTE(RIGHT(SUBSTITUTE(Network_Connections[[#This Row],[to]],"_",REPT("*",10)),10),"*","")</f>
        <v>CRM</v>
      </c>
      <c r="F567" s="3" t="str">
        <f>INDEX(Assets[Asset_ID],MATCH(Network_Connections[[#This Row],[From2]],Assets[name],0))</f>
        <v>A00012</v>
      </c>
      <c r="G567" s="3" t="s">
        <v>145</v>
      </c>
      <c r="H567" s="3" t="s">
        <v>144</v>
      </c>
      <c r="I567" s="3">
        <v>0</v>
      </c>
      <c r="J56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7" s="3" t="str">
        <f>RIGHT(Network_Connections[[#This Row],[port/protocol]],LEN(Network_Connections[[#This Row],[port/protocol]])-FIND("/",Network_Connections[[#This Row],[port/protocol]]))</f>
        <v>0-65535</v>
      </c>
      <c r="L567" s="3">
        <f t="shared" si="9"/>
        <v>0</v>
      </c>
    </row>
    <row r="568" spans="1:12" x14ac:dyDescent="0.2">
      <c r="A568" s="3" t="s">
        <v>146</v>
      </c>
      <c r="B568" s="3" t="str">
        <f xml:space="preserve"> SUBSTITUTE(RIGHT(SUBSTITUTE(Network_Connections[[#This Row],[from]],"_",REPT("*",10)),10),"*","")</f>
        <v>WS7</v>
      </c>
      <c r="C568" s="3" t="str">
        <f>INDEX(Assets[Asset_ID],MATCH(Network_Connections[[#This Row],[From1]],Assets[name],0))</f>
        <v>A00024</v>
      </c>
      <c r="D568" s="3" t="s">
        <v>158</v>
      </c>
      <c r="E568" s="3" t="str">
        <f xml:space="preserve"> SUBSTITUTE(RIGHT(SUBSTITUTE(Network_Connections[[#This Row],[to]],"_",REPT("*",10)),10),"*","")</f>
        <v>WIFI1</v>
      </c>
      <c r="F568" s="3" t="str">
        <f>INDEX(Assets[Asset_ID],MATCH(Network_Connections[[#This Row],[From2]],Assets[name],0))</f>
        <v>A00013</v>
      </c>
      <c r="G568" s="3" t="s">
        <v>145</v>
      </c>
      <c r="H568" s="3" t="s">
        <v>144</v>
      </c>
      <c r="I568" s="3">
        <v>0</v>
      </c>
      <c r="J56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8" s="3" t="str">
        <f>RIGHT(Network_Connections[[#This Row],[port/protocol]],LEN(Network_Connections[[#This Row],[port/protocol]])-FIND("/",Network_Connections[[#This Row],[port/protocol]]))</f>
        <v>0-65535</v>
      </c>
      <c r="L568" s="3">
        <f t="shared" si="9"/>
        <v>0</v>
      </c>
    </row>
    <row r="569" spans="1:12" x14ac:dyDescent="0.2">
      <c r="A569" s="3" t="s">
        <v>146</v>
      </c>
      <c r="B569" s="3" t="str">
        <f xml:space="preserve"> SUBSTITUTE(RIGHT(SUBSTITUTE(Network_Connections[[#This Row],[from]],"_",REPT("*",10)),10),"*","")</f>
        <v>WS7</v>
      </c>
      <c r="C569" s="3" t="str">
        <f>INDEX(Assets[Asset_ID],MATCH(Network_Connections[[#This Row],[From1]],Assets[name],0))</f>
        <v>A00024</v>
      </c>
      <c r="D569" s="3" t="s">
        <v>157</v>
      </c>
      <c r="E569" s="3" t="str">
        <f xml:space="preserve"> SUBSTITUTE(RIGHT(SUBSTITUTE(Network_Connections[[#This Row],[to]],"_",REPT("*",10)),10),"*","")</f>
        <v>WS1</v>
      </c>
      <c r="F569" s="3" t="str">
        <f>INDEX(Assets[Asset_ID],MATCH(Network_Connections[[#This Row],[From2]],Assets[name],0))</f>
        <v>A00014</v>
      </c>
      <c r="G569" s="3" t="s">
        <v>145</v>
      </c>
      <c r="H569" s="3" t="s">
        <v>144</v>
      </c>
      <c r="I569" s="3">
        <v>0</v>
      </c>
      <c r="J56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69" s="3" t="str">
        <f>RIGHT(Network_Connections[[#This Row],[port/protocol]],LEN(Network_Connections[[#This Row],[port/protocol]])-FIND("/",Network_Connections[[#This Row],[port/protocol]]))</f>
        <v>0-65535</v>
      </c>
      <c r="L569" s="3">
        <f t="shared" si="9"/>
        <v>0</v>
      </c>
    </row>
    <row r="570" spans="1:12" x14ac:dyDescent="0.2">
      <c r="A570" s="3" t="s">
        <v>146</v>
      </c>
      <c r="B570" s="3" t="str">
        <f xml:space="preserve"> SUBSTITUTE(RIGHT(SUBSTITUTE(Network_Connections[[#This Row],[from]],"_",REPT("*",10)),10),"*","")</f>
        <v>WS7</v>
      </c>
      <c r="C570" s="3" t="str">
        <f>INDEX(Assets[Asset_ID],MATCH(Network_Connections[[#This Row],[From1]],Assets[name],0))</f>
        <v>A00024</v>
      </c>
      <c r="D570" s="3" t="s">
        <v>156</v>
      </c>
      <c r="E570" s="3" t="str">
        <f xml:space="preserve"> SUBSTITUTE(RIGHT(SUBSTITUTE(Network_Connections[[#This Row],[to]],"_",REPT("*",10)),10),"*","")</f>
        <v>FW3</v>
      </c>
      <c r="F570" s="3" t="str">
        <f>INDEX(Assets[Asset_ID],MATCH(Network_Connections[[#This Row],[From2]],Assets[name],0))</f>
        <v>A00015</v>
      </c>
      <c r="G570" s="3" t="s">
        <v>145</v>
      </c>
      <c r="H570" s="3" t="s">
        <v>144</v>
      </c>
      <c r="I570" s="3">
        <v>0</v>
      </c>
      <c r="J57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0" s="3" t="str">
        <f>RIGHT(Network_Connections[[#This Row],[port/protocol]],LEN(Network_Connections[[#This Row],[port/protocol]])-FIND("/",Network_Connections[[#This Row],[port/protocol]]))</f>
        <v>0-65535</v>
      </c>
      <c r="L570" s="3">
        <f t="shared" si="9"/>
        <v>0</v>
      </c>
    </row>
    <row r="571" spans="1:12" x14ac:dyDescent="0.2">
      <c r="A571" s="3" t="s">
        <v>146</v>
      </c>
      <c r="B571" s="3" t="str">
        <f xml:space="preserve"> SUBSTITUTE(RIGHT(SUBSTITUTE(Network_Connections[[#This Row],[from]],"_",REPT("*",10)),10),"*","")</f>
        <v>WS7</v>
      </c>
      <c r="C571" s="3" t="str">
        <f>INDEX(Assets[Asset_ID],MATCH(Network_Connections[[#This Row],[From1]],Assets[name],0))</f>
        <v>A00024</v>
      </c>
      <c r="D571" s="3" t="s">
        <v>155</v>
      </c>
      <c r="E571" s="3" t="str">
        <f xml:space="preserve"> SUBSTITUTE(RIGHT(SUBSTITUTE(Network_Connections[[#This Row],[to]],"_",REPT("*",10)),10),"*","")</f>
        <v>SW2</v>
      </c>
      <c r="F571" s="3" t="str">
        <f>INDEX(Assets[Asset_ID],MATCH(Network_Connections[[#This Row],[From2]],Assets[name],0))</f>
        <v>A00016</v>
      </c>
      <c r="G571" s="3" t="s">
        <v>145</v>
      </c>
      <c r="H571" s="3" t="s">
        <v>144</v>
      </c>
      <c r="I571" s="3">
        <v>0</v>
      </c>
      <c r="J57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1" s="3" t="str">
        <f>RIGHT(Network_Connections[[#This Row],[port/protocol]],LEN(Network_Connections[[#This Row],[port/protocol]])-FIND("/",Network_Connections[[#This Row],[port/protocol]]))</f>
        <v>0-65535</v>
      </c>
      <c r="L571" s="3">
        <f t="shared" si="9"/>
        <v>0</v>
      </c>
    </row>
    <row r="572" spans="1:12" x14ac:dyDescent="0.2">
      <c r="A572" s="3" t="s">
        <v>146</v>
      </c>
      <c r="B572" s="3" t="str">
        <f xml:space="preserve"> SUBSTITUTE(RIGHT(SUBSTITUTE(Network_Connections[[#This Row],[from]],"_",REPT("*",10)),10),"*","")</f>
        <v>WS7</v>
      </c>
      <c r="C572" s="3" t="str">
        <f>INDEX(Assets[Asset_ID],MATCH(Network_Connections[[#This Row],[From1]],Assets[name],0))</f>
        <v>A00024</v>
      </c>
      <c r="D572" s="3" t="s">
        <v>154</v>
      </c>
      <c r="E572" s="3" t="str">
        <f xml:space="preserve"> SUBSTITUTE(RIGHT(SUBSTITUTE(Network_Connections[[#This Row],[to]],"_",REPT("*",10)),10),"*","")</f>
        <v>WS2</v>
      </c>
      <c r="F572" s="3" t="str">
        <f>INDEX(Assets[Asset_ID],MATCH(Network_Connections[[#This Row],[From2]],Assets[name],0))</f>
        <v>A00017</v>
      </c>
      <c r="G572" s="3" t="s">
        <v>145</v>
      </c>
      <c r="H572" s="3" t="s">
        <v>144</v>
      </c>
      <c r="I572" s="3">
        <v>0</v>
      </c>
      <c r="J57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2" s="3" t="str">
        <f>RIGHT(Network_Connections[[#This Row],[port/protocol]],LEN(Network_Connections[[#This Row],[port/protocol]])-FIND("/",Network_Connections[[#This Row],[port/protocol]]))</f>
        <v>0-65535</v>
      </c>
      <c r="L572" s="3">
        <f t="shared" si="9"/>
        <v>0</v>
      </c>
    </row>
    <row r="573" spans="1:12" x14ac:dyDescent="0.2">
      <c r="A573" s="3" t="s">
        <v>146</v>
      </c>
      <c r="B573" s="3" t="str">
        <f xml:space="preserve"> SUBSTITUTE(RIGHT(SUBSTITUTE(Network_Connections[[#This Row],[from]],"_",REPT("*",10)),10),"*","")</f>
        <v>WS7</v>
      </c>
      <c r="C573" s="3" t="str">
        <f>INDEX(Assets[Asset_ID],MATCH(Network_Connections[[#This Row],[From1]],Assets[name],0))</f>
        <v>A00024</v>
      </c>
      <c r="D573" s="3" t="s">
        <v>153</v>
      </c>
      <c r="E573" s="3" t="str">
        <f xml:space="preserve"> SUBSTITUTE(RIGHT(SUBSTITUTE(Network_Connections[[#This Row],[to]],"_",REPT("*",10)),10),"*","")</f>
        <v>WS3</v>
      </c>
      <c r="F573" s="3" t="str">
        <f>INDEX(Assets[Asset_ID],MATCH(Network_Connections[[#This Row],[From2]],Assets[name],0))</f>
        <v>A00018</v>
      </c>
      <c r="G573" s="3" t="s">
        <v>145</v>
      </c>
      <c r="H573" s="3" t="s">
        <v>144</v>
      </c>
      <c r="I573" s="3">
        <v>0</v>
      </c>
      <c r="J57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3" s="3" t="str">
        <f>RIGHT(Network_Connections[[#This Row],[port/protocol]],LEN(Network_Connections[[#This Row],[port/protocol]])-FIND("/",Network_Connections[[#This Row],[port/protocol]]))</f>
        <v>0-65535</v>
      </c>
      <c r="L573" s="3">
        <f t="shared" si="9"/>
        <v>0</v>
      </c>
    </row>
    <row r="574" spans="1:12" x14ac:dyDescent="0.2">
      <c r="A574" s="3" t="s">
        <v>146</v>
      </c>
      <c r="B574" s="3" t="str">
        <f xml:space="preserve"> SUBSTITUTE(RIGHT(SUBSTITUTE(Network_Connections[[#This Row],[from]],"_",REPT("*",10)),10),"*","")</f>
        <v>WS7</v>
      </c>
      <c r="C574" s="3" t="str">
        <f>INDEX(Assets[Asset_ID],MATCH(Network_Connections[[#This Row],[From1]],Assets[name],0))</f>
        <v>A00024</v>
      </c>
      <c r="D574" s="3" t="s">
        <v>152</v>
      </c>
      <c r="E574" s="3" t="str">
        <f xml:space="preserve"> SUBSTITUTE(RIGHT(SUBSTITUTE(Network_Connections[[#This Row],[to]],"_",REPT("*",10)),10),"*","")</f>
        <v>WS4</v>
      </c>
      <c r="F574" s="3" t="str">
        <f>INDEX(Assets[Asset_ID],MATCH(Network_Connections[[#This Row],[From2]],Assets[name],0))</f>
        <v>A00019</v>
      </c>
      <c r="G574" s="3" t="s">
        <v>145</v>
      </c>
      <c r="H574" s="3" t="s">
        <v>144</v>
      </c>
      <c r="I574" s="3">
        <v>0</v>
      </c>
      <c r="J57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4" s="3" t="str">
        <f>RIGHT(Network_Connections[[#This Row],[port/protocol]],LEN(Network_Connections[[#This Row],[port/protocol]])-FIND("/",Network_Connections[[#This Row],[port/protocol]]))</f>
        <v>0-65535</v>
      </c>
      <c r="L574" s="3">
        <f t="shared" si="9"/>
        <v>0</v>
      </c>
    </row>
    <row r="575" spans="1:12" x14ac:dyDescent="0.2">
      <c r="A575" s="3" t="s">
        <v>146</v>
      </c>
      <c r="B575" s="3" t="str">
        <f xml:space="preserve"> SUBSTITUTE(RIGHT(SUBSTITUTE(Network_Connections[[#This Row],[from]],"_",REPT("*",10)),10),"*","")</f>
        <v>WS7</v>
      </c>
      <c r="C575" s="3" t="str">
        <f>INDEX(Assets[Asset_ID],MATCH(Network_Connections[[#This Row],[From1]],Assets[name],0))</f>
        <v>A00024</v>
      </c>
      <c r="D575" s="3" t="s">
        <v>151</v>
      </c>
      <c r="E575" s="3" t="str">
        <f xml:space="preserve"> SUBSTITUTE(RIGHT(SUBSTITUTE(Network_Connections[[#This Row],[to]],"_",REPT("*",10)),10),"*","")</f>
        <v>FW4</v>
      </c>
      <c r="F575" s="3" t="str">
        <f>INDEX(Assets[Asset_ID],MATCH(Network_Connections[[#This Row],[From2]],Assets[name],0))</f>
        <v>A00020</v>
      </c>
      <c r="G575" s="3" t="s">
        <v>145</v>
      </c>
      <c r="H575" s="3" t="s">
        <v>144</v>
      </c>
      <c r="I575" s="3">
        <v>0</v>
      </c>
      <c r="J57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5" s="3" t="str">
        <f>RIGHT(Network_Connections[[#This Row],[port/protocol]],LEN(Network_Connections[[#This Row],[port/protocol]])-FIND("/",Network_Connections[[#This Row],[port/protocol]]))</f>
        <v>0-65535</v>
      </c>
      <c r="L575" s="3">
        <f t="shared" si="9"/>
        <v>0</v>
      </c>
    </row>
    <row r="576" spans="1:12" x14ac:dyDescent="0.2">
      <c r="A576" s="3" t="s">
        <v>146</v>
      </c>
      <c r="B576" s="3" t="str">
        <f xml:space="preserve"> SUBSTITUTE(RIGHT(SUBSTITUTE(Network_Connections[[#This Row],[from]],"_",REPT("*",10)),10),"*","")</f>
        <v>WS7</v>
      </c>
      <c r="C576" s="3" t="str">
        <f>INDEX(Assets[Asset_ID],MATCH(Network_Connections[[#This Row],[From1]],Assets[name],0))</f>
        <v>A00024</v>
      </c>
      <c r="D576" s="3" t="s">
        <v>150</v>
      </c>
      <c r="E576" s="3" t="str">
        <f xml:space="preserve"> SUBSTITUTE(RIGHT(SUBSTITUTE(Network_Connections[[#This Row],[to]],"_",REPT("*",10)),10),"*","")</f>
        <v>WIFI2</v>
      </c>
      <c r="F576" s="3" t="str">
        <f>INDEX(Assets[Asset_ID],MATCH(Network_Connections[[#This Row],[From2]],Assets[name],0))</f>
        <v>A00021</v>
      </c>
      <c r="G576" s="3" t="s">
        <v>145</v>
      </c>
      <c r="H576" s="3" t="s">
        <v>144</v>
      </c>
      <c r="I576" s="3">
        <v>0</v>
      </c>
      <c r="J57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6" s="3" t="str">
        <f>RIGHT(Network_Connections[[#This Row],[port/protocol]],LEN(Network_Connections[[#This Row],[port/protocol]])-FIND("/",Network_Connections[[#This Row],[port/protocol]]))</f>
        <v>0-65535</v>
      </c>
      <c r="L576" s="3">
        <f t="shared" si="9"/>
        <v>0</v>
      </c>
    </row>
    <row r="577" spans="1:12" x14ac:dyDescent="0.2">
      <c r="A577" s="3" t="s">
        <v>146</v>
      </c>
      <c r="B577" s="3" t="str">
        <f xml:space="preserve"> SUBSTITUTE(RIGHT(SUBSTITUTE(Network_Connections[[#This Row],[from]],"_",REPT("*",10)),10),"*","")</f>
        <v>WS7</v>
      </c>
      <c r="C577" s="3" t="str">
        <f>INDEX(Assets[Asset_ID],MATCH(Network_Connections[[#This Row],[From1]],Assets[name],0))</f>
        <v>A00024</v>
      </c>
      <c r="D577" s="3" t="s">
        <v>149</v>
      </c>
      <c r="E577" s="3" t="str">
        <f xml:space="preserve"> SUBSTITUTE(RIGHT(SUBSTITUTE(Network_Connections[[#This Row],[to]],"_",REPT("*",10)),10),"*","")</f>
        <v>WS5</v>
      </c>
      <c r="F577" s="3" t="str">
        <f>INDEX(Assets[Asset_ID],MATCH(Network_Connections[[#This Row],[From2]],Assets[name],0))</f>
        <v>A00022</v>
      </c>
      <c r="G577" s="3" t="s">
        <v>145</v>
      </c>
      <c r="H577" s="3" t="s">
        <v>144</v>
      </c>
      <c r="I577" s="3">
        <v>0</v>
      </c>
      <c r="J57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7" s="3" t="str">
        <f>RIGHT(Network_Connections[[#This Row],[port/protocol]],LEN(Network_Connections[[#This Row],[port/protocol]])-FIND("/",Network_Connections[[#This Row],[port/protocol]]))</f>
        <v>0-65535</v>
      </c>
      <c r="L577" s="3">
        <f t="shared" si="9"/>
        <v>0</v>
      </c>
    </row>
    <row r="578" spans="1:12" x14ac:dyDescent="0.2">
      <c r="A578" s="3" t="s">
        <v>146</v>
      </c>
      <c r="B578" s="3" t="str">
        <f xml:space="preserve"> SUBSTITUTE(RIGHT(SUBSTITUTE(Network_Connections[[#This Row],[from]],"_",REPT("*",10)),10),"*","")</f>
        <v>WS7</v>
      </c>
      <c r="C578" s="3" t="str">
        <f>INDEX(Assets[Asset_ID],MATCH(Network_Connections[[#This Row],[From1]],Assets[name],0))</f>
        <v>A00024</v>
      </c>
      <c r="D578" s="3" t="s">
        <v>148</v>
      </c>
      <c r="E578" s="3" t="str">
        <f xml:space="preserve"> SUBSTITUTE(RIGHT(SUBSTITUTE(Network_Connections[[#This Row],[to]],"_",REPT("*",10)),10),"*","")</f>
        <v>WS6</v>
      </c>
      <c r="F578" s="3" t="str">
        <f>INDEX(Assets[Asset_ID],MATCH(Network_Connections[[#This Row],[From2]],Assets[name],0))</f>
        <v>A00023</v>
      </c>
      <c r="G578" s="3" t="s">
        <v>145</v>
      </c>
      <c r="H578" s="3" t="s">
        <v>144</v>
      </c>
      <c r="I578" s="3">
        <v>0</v>
      </c>
      <c r="J57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8" s="3" t="str">
        <f>RIGHT(Network_Connections[[#This Row],[port/protocol]],LEN(Network_Connections[[#This Row],[port/protocol]])-FIND("/",Network_Connections[[#This Row],[port/protocol]]))</f>
        <v>0-65535</v>
      </c>
      <c r="L578" s="3">
        <f t="shared" ref="L578:L604" si="10">IF(AND(C578=C577, F578=F577), L577+1, 0)</f>
        <v>0</v>
      </c>
    </row>
    <row r="579" spans="1:12" x14ac:dyDescent="0.2">
      <c r="A579" s="3" t="s">
        <v>146</v>
      </c>
      <c r="B579" s="3" t="str">
        <f xml:space="preserve"> SUBSTITUTE(RIGHT(SUBSTITUTE(Network_Connections[[#This Row],[from]],"_",REPT("*",10)),10),"*","")</f>
        <v>WS7</v>
      </c>
      <c r="C579" s="3" t="str">
        <f>INDEX(Assets[Asset_ID],MATCH(Network_Connections[[#This Row],[From1]],Assets[name],0))</f>
        <v>A00024</v>
      </c>
      <c r="D579" s="3" t="s">
        <v>147</v>
      </c>
      <c r="E579" s="3" t="str">
        <f xml:space="preserve"> SUBSTITUTE(RIGHT(SUBSTITUTE(Network_Connections[[#This Row],[to]],"_",REPT("*",10)),10),"*","")</f>
        <v>WS8</v>
      </c>
      <c r="F579" s="3" t="str">
        <f>INDEX(Assets[Asset_ID],MATCH(Network_Connections[[#This Row],[From2]],Assets[name],0))</f>
        <v>A00025</v>
      </c>
      <c r="G579" s="3" t="s">
        <v>145</v>
      </c>
      <c r="H579" s="3" t="s">
        <v>144</v>
      </c>
      <c r="I579" s="3">
        <v>0</v>
      </c>
      <c r="J57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79" s="3" t="str">
        <f>RIGHT(Network_Connections[[#This Row],[port/protocol]],LEN(Network_Connections[[#This Row],[port/protocol]])-FIND("/",Network_Connections[[#This Row],[port/protocol]]))</f>
        <v>0-65535</v>
      </c>
      <c r="L579" s="3">
        <f t="shared" si="10"/>
        <v>0</v>
      </c>
    </row>
    <row r="580" spans="1:12" x14ac:dyDescent="0.2">
      <c r="A580" s="3" t="s">
        <v>147</v>
      </c>
      <c r="B580" s="3" t="str">
        <f xml:space="preserve"> SUBSTITUTE(RIGHT(SUBSTITUTE(Network_Connections[[#This Row],[from]],"_",REPT("*",10)),10),"*","")</f>
        <v>WS8</v>
      </c>
      <c r="C580" s="3" t="str">
        <f>INDEX(Assets[Asset_ID],MATCH(Network_Connections[[#This Row],[From1]],Assets[name],0))</f>
        <v>A00025</v>
      </c>
      <c r="D580" s="3" t="s">
        <v>171</v>
      </c>
      <c r="E580" s="3" t="str">
        <f xml:space="preserve"> SUBSTITUTE(RIGHT(SUBSTITUTE(Network_Connections[[#This Row],[to]],"_",REPT("*",10)),10),"*","")</f>
        <v>FW1</v>
      </c>
      <c r="F580" s="3" t="str">
        <f>INDEX(Assets[Asset_ID],MATCH(Network_Connections[[#This Row],[From2]],Assets[name],0))</f>
        <v>A00001</v>
      </c>
      <c r="G580" s="3" t="s">
        <v>145</v>
      </c>
      <c r="H580" s="3" t="s">
        <v>144</v>
      </c>
      <c r="I580" s="3">
        <v>0</v>
      </c>
      <c r="J58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80" s="3" t="str">
        <f>RIGHT(Network_Connections[[#This Row],[port/protocol]],LEN(Network_Connections[[#This Row],[port/protocol]])-FIND("/",Network_Connections[[#This Row],[port/protocol]]))</f>
        <v>0-65535</v>
      </c>
      <c r="L580" s="3">
        <f t="shared" si="10"/>
        <v>0</v>
      </c>
    </row>
    <row r="581" spans="1:12" x14ac:dyDescent="0.2">
      <c r="A581" s="3" t="s">
        <v>147</v>
      </c>
      <c r="B581" s="3" t="str">
        <f xml:space="preserve"> SUBSTITUTE(RIGHT(SUBSTITUTE(Network_Connections[[#This Row],[from]],"_",REPT("*",10)),10),"*","")</f>
        <v>WS8</v>
      </c>
      <c r="C581" s="3" t="str">
        <f>INDEX(Assets[Asset_ID],MATCH(Network_Connections[[#This Row],[From1]],Assets[name],0))</f>
        <v>A00025</v>
      </c>
      <c r="D581" s="3" t="s">
        <v>170</v>
      </c>
      <c r="E581" s="3" t="str">
        <f xml:space="preserve"> SUBSTITUTE(RIGHT(SUBSTITUTE(Network_Connections[[#This Row],[to]],"_",REPT("*",10)),10),"*","")</f>
        <v>VPNSRV</v>
      </c>
      <c r="F581" s="3" t="str">
        <f>INDEX(Assets[Asset_ID],MATCH(Network_Connections[[#This Row],[From2]],Assets[name],0))</f>
        <v>A00002</v>
      </c>
      <c r="G581" s="3" t="s">
        <v>145</v>
      </c>
      <c r="H581" s="3" t="s">
        <v>167</v>
      </c>
      <c r="I581" s="3">
        <v>1</v>
      </c>
      <c r="J58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"A00025"-&gt;"A00002"@00:("TCP", "443");</v>
      </c>
      <c r="K581" s="3" t="str">
        <f>RIGHT(Network_Connections[[#This Row],[port/protocol]],LEN(Network_Connections[[#This Row],[port/protocol]])-FIND("/",Network_Connections[[#This Row],[port/protocol]]))</f>
        <v>443</v>
      </c>
      <c r="L581" s="3">
        <f t="shared" si="10"/>
        <v>0</v>
      </c>
    </row>
    <row r="582" spans="1:12" s="19" customFormat="1" x14ac:dyDescent="0.2">
      <c r="A582" s="18" t="s">
        <v>147</v>
      </c>
      <c r="B582" s="18" t="str">
        <f xml:space="preserve"> SUBSTITUTE(RIGHT(SUBSTITUTE(Network_Connections[[#This Row],[from]],"_",REPT("*",10)),10),"*","")</f>
        <v>WS8</v>
      </c>
      <c r="C582" s="18" t="str">
        <f>INDEX(Assets[Asset_ID],MATCH(Network_Connections[[#This Row],[From1]],Assets[name],0))</f>
        <v>A00025</v>
      </c>
      <c r="D582" s="18" t="s">
        <v>170</v>
      </c>
      <c r="E582" s="18" t="str">
        <f xml:space="preserve"> SUBSTITUTE(RIGHT(SUBSTITUTE(Network_Connections[[#This Row],[to]],"_",REPT("*",10)),10),"*","")</f>
        <v>VPNSRV</v>
      </c>
      <c r="F582" s="18" t="str">
        <f>INDEX(Assets[Asset_ID],MATCH(Network_Connections[[#This Row],[From2]],Assets[name],0))</f>
        <v>A00002</v>
      </c>
      <c r="G582" s="18" t="s">
        <v>145</v>
      </c>
      <c r="H582" s="18" t="s">
        <v>213</v>
      </c>
      <c r="I582" s="18">
        <v>1</v>
      </c>
      <c r="J582" s="18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"A00025"-&gt;"A00002"@01:("UDP", "1194");</v>
      </c>
      <c r="K582" s="18" t="str">
        <f>RIGHT(Network_Connections[[#This Row],[port/protocol]],LEN(Network_Connections[[#This Row],[port/protocol]])-FIND("/",Network_Connections[[#This Row],[port/protocol]]))</f>
        <v>1194</v>
      </c>
      <c r="L582" s="18">
        <f t="shared" si="10"/>
        <v>1</v>
      </c>
    </row>
    <row r="583" spans="1:12" x14ac:dyDescent="0.2">
      <c r="A583" s="3" t="s">
        <v>147</v>
      </c>
      <c r="B583" s="3" t="str">
        <f xml:space="preserve"> SUBSTITUTE(RIGHT(SUBSTITUTE(Network_Connections[[#This Row],[from]],"_",REPT("*",10)),10),"*","")</f>
        <v>WS8</v>
      </c>
      <c r="C583" s="3" t="str">
        <f>INDEX(Assets[Asset_ID],MATCH(Network_Connections[[#This Row],[From1]],Assets[name],0))</f>
        <v>A00025</v>
      </c>
      <c r="D583" s="3" t="s">
        <v>169</v>
      </c>
      <c r="E583" s="3" t="str">
        <f xml:space="preserve"> SUBSTITUTE(RIGHT(SUBSTITUTE(Network_Connections[[#This Row],[to]],"_",REPT("*",10)),10),"*","")</f>
        <v>WebSRV1</v>
      </c>
      <c r="F583" s="3" t="str">
        <f>INDEX(Assets[Asset_ID],MATCH(Network_Connections[[#This Row],[From2]],Assets[name],0))</f>
        <v>A00003</v>
      </c>
      <c r="G583" s="3" t="s">
        <v>145</v>
      </c>
      <c r="H583" s="3" t="s">
        <v>167</v>
      </c>
      <c r="I583" s="3">
        <v>1</v>
      </c>
      <c r="J58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"A00025"-&gt;"A00003"@00:("TCP", "443");</v>
      </c>
      <c r="K583" s="3" t="str">
        <f>RIGHT(Network_Connections[[#This Row],[port/protocol]],LEN(Network_Connections[[#This Row],[port/protocol]])-FIND("/",Network_Connections[[#This Row],[port/protocol]]))</f>
        <v>443</v>
      </c>
      <c r="L583" s="3">
        <f t="shared" si="10"/>
        <v>0</v>
      </c>
    </row>
    <row r="584" spans="1:12" x14ac:dyDescent="0.2">
      <c r="A584" s="3" t="s">
        <v>147</v>
      </c>
      <c r="B584" s="3" t="str">
        <f xml:space="preserve"> SUBSTITUTE(RIGHT(SUBSTITUTE(Network_Connections[[#This Row],[from]],"_",REPT("*",10)),10),"*","")</f>
        <v>WS8</v>
      </c>
      <c r="C584" s="3" t="str">
        <f>INDEX(Assets[Asset_ID],MATCH(Network_Connections[[#This Row],[From1]],Assets[name],0))</f>
        <v>A00025</v>
      </c>
      <c r="D584" s="3" t="s">
        <v>168</v>
      </c>
      <c r="E584" s="3" t="str">
        <f xml:space="preserve"> SUBSTITUTE(RIGHT(SUBSTITUTE(Network_Connections[[#This Row],[to]],"_",REPT("*",10)),10),"*","")</f>
        <v>WebSRV2</v>
      </c>
      <c r="F584" s="3" t="str">
        <f>INDEX(Assets[Asset_ID],MATCH(Network_Connections[[#This Row],[From2]],Assets[name],0))</f>
        <v>A00004</v>
      </c>
      <c r="G584" s="3" t="s">
        <v>145</v>
      </c>
      <c r="H584" s="3" t="s">
        <v>167</v>
      </c>
      <c r="I584" s="3">
        <v>1</v>
      </c>
      <c r="J58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INSERT EDGE IF NOT EXISTS connects_to(Connection_Protocol, Connection_Port) VALUES "A00025"-&gt;"A00004"@00:("TCP", "443");</v>
      </c>
      <c r="K584" s="3" t="str">
        <f>RIGHT(Network_Connections[[#This Row],[port/protocol]],LEN(Network_Connections[[#This Row],[port/protocol]])-FIND("/",Network_Connections[[#This Row],[port/protocol]]))</f>
        <v>443</v>
      </c>
      <c r="L584" s="3">
        <f t="shared" si="10"/>
        <v>0</v>
      </c>
    </row>
    <row r="585" spans="1:12" x14ac:dyDescent="0.2">
      <c r="A585" s="3" t="s">
        <v>147</v>
      </c>
      <c r="B585" s="3" t="str">
        <f xml:space="preserve"> SUBSTITUTE(RIGHT(SUBSTITUTE(Network_Connections[[#This Row],[from]],"_",REPT("*",10)),10),"*","")</f>
        <v>WS8</v>
      </c>
      <c r="C585" s="3" t="str">
        <f>INDEX(Assets[Asset_ID],MATCH(Network_Connections[[#This Row],[From1]],Assets[name],0))</f>
        <v>A00025</v>
      </c>
      <c r="D585" s="3" t="s">
        <v>166</v>
      </c>
      <c r="E585" s="3" t="str">
        <f xml:space="preserve"> SUBSTITUTE(RIGHT(SUBSTITUTE(Network_Connections[[#This Row],[to]],"_",REPT("*",10)),10),"*","")</f>
        <v>FW2</v>
      </c>
      <c r="F585" s="3" t="str">
        <f>INDEX(Assets[Asset_ID],MATCH(Network_Connections[[#This Row],[From2]],Assets[name],0))</f>
        <v>A00005</v>
      </c>
      <c r="G585" s="3" t="s">
        <v>145</v>
      </c>
      <c r="H585" s="3" t="s">
        <v>144</v>
      </c>
      <c r="I585" s="3">
        <v>0</v>
      </c>
      <c r="J58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85" s="3" t="str">
        <f>RIGHT(Network_Connections[[#This Row],[port/protocol]],LEN(Network_Connections[[#This Row],[port/protocol]])-FIND("/",Network_Connections[[#This Row],[port/protocol]]))</f>
        <v>0-65535</v>
      </c>
      <c r="L585" s="3">
        <f t="shared" si="10"/>
        <v>0</v>
      </c>
    </row>
    <row r="586" spans="1:12" x14ac:dyDescent="0.2">
      <c r="A586" s="3" t="s">
        <v>147</v>
      </c>
      <c r="B586" s="3" t="str">
        <f xml:space="preserve"> SUBSTITUTE(RIGHT(SUBSTITUTE(Network_Connections[[#This Row],[from]],"_",REPT("*",10)),10),"*","")</f>
        <v>WS8</v>
      </c>
      <c r="C586" s="3" t="str">
        <f>INDEX(Assets[Asset_ID],MATCH(Network_Connections[[#This Row],[From1]],Assets[name],0))</f>
        <v>A00025</v>
      </c>
      <c r="D586" s="3" t="s">
        <v>165</v>
      </c>
      <c r="E586" s="3" t="str">
        <f xml:space="preserve"> SUBSTITUTE(RIGHT(SUBSTITUTE(Network_Connections[[#This Row],[to]],"_",REPT("*",10)),10),"*","")</f>
        <v>SW1</v>
      </c>
      <c r="F586" s="3" t="str">
        <f>INDEX(Assets[Asset_ID],MATCH(Network_Connections[[#This Row],[From2]],Assets[name],0))</f>
        <v>A00006</v>
      </c>
      <c r="G586" s="3" t="s">
        <v>145</v>
      </c>
      <c r="H586" s="3" t="s">
        <v>144</v>
      </c>
      <c r="I586" s="3">
        <v>0</v>
      </c>
      <c r="J58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86" s="3" t="str">
        <f>RIGHT(Network_Connections[[#This Row],[port/protocol]],LEN(Network_Connections[[#This Row],[port/protocol]])-FIND("/",Network_Connections[[#This Row],[port/protocol]]))</f>
        <v>0-65535</v>
      </c>
      <c r="L586" s="3">
        <f t="shared" si="10"/>
        <v>0</v>
      </c>
    </row>
    <row r="587" spans="1:12" x14ac:dyDescent="0.2">
      <c r="A587" s="3" t="s">
        <v>147</v>
      </c>
      <c r="B587" s="3" t="str">
        <f xml:space="preserve"> SUBSTITUTE(RIGHT(SUBSTITUTE(Network_Connections[[#This Row],[from]],"_",REPT("*",10)),10),"*","")</f>
        <v>WS8</v>
      </c>
      <c r="C587" s="3" t="str">
        <f>INDEX(Assets[Asset_ID],MATCH(Network_Connections[[#This Row],[From1]],Assets[name],0))</f>
        <v>A00025</v>
      </c>
      <c r="D587" s="3" t="s">
        <v>164</v>
      </c>
      <c r="E587" s="3" t="str">
        <f xml:space="preserve"> SUBSTITUTE(RIGHT(SUBSTITUTE(Network_Connections[[#This Row],[to]],"_",REPT("*",10)),10),"*","")</f>
        <v>AD</v>
      </c>
      <c r="F587" s="3" t="str">
        <f>INDEX(Assets[Asset_ID],MATCH(Network_Connections[[#This Row],[From2]],Assets[name],0))</f>
        <v>A00007</v>
      </c>
      <c r="G587" s="3" t="s">
        <v>145</v>
      </c>
      <c r="H587" s="3" t="s">
        <v>144</v>
      </c>
      <c r="I587" s="3">
        <v>0</v>
      </c>
      <c r="J58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87" s="3" t="str">
        <f>RIGHT(Network_Connections[[#This Row],[port/protocol]],LEN(Network_Connections[[#This Row],[port/protocol]])-FIND("/",Network_Connections[[#This Row],[port/protocol]]))</f>
        <v>0-65535</v>
      </c>
      <c r="L587" s="3">
        <f t="shared" si="10"/>
        <v>0</v>
      </c>
    </row>
    <row r="588" spans="1:12" x14ac:dyDescent="0.2">
      <c r="A588" s="3" t="s">
        <v>147</v>
      </c>
      <c r="B588" s="3" t="str">
        <f xml:space="preserve"> SUBSTITUTE(RIGHT(SUBSTITUTE(Network_Connections[[#This Row],[from]],"_",REPT("*",10)),10),"*","")</f>
        <v>WS8</v>
      </c>
      <c r="C588" s="3" t="str">
        <f>INDEX(Assets[Asset_ID],MATCH(Network_Connections[[#This Row],[From1]],Assets[name],0))</f>
        <v>A00025</v>
      </c>
      <c r="D588" s="3" t="s">
        <v>163</v>
      </c>
      <c r="E588" s="3" t="str">
        <f xml:space="preserve"> SUBSTITUTE(RIGHT(SUBSTITUTE(Network_Connections[[#This Row],[to]],"_",REPT("*",10)),10),"*","")</f>
        <v>ERP</v>
      </c>
      <c r="F588" s="3" t="str">
        <f>INDEX(Assets[Asset_ID],MATCH(Network_Connections[[#This Row],[From2]],Assets[name],0))</f>
        <v>A00008</v>
      </c>
      <c r="G588" s="3" t="s">
        <v>145</v>
      </c>
      <c r="H588" s="3" t="s">
        <v>144</v>
      </c>
      <c r="I588" s="3">
        <v>0</v>
      </c>
      <c r="J58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88" s="3" t="str">
        <f>RIGHT(Network_Connections[[#This Row],[port/protocol]],LEN(Network_Connections[[#This Row],[port/protocol]])-FIND("/",Network_Connections[[#This Row],[port/protocol]]))</f>
        <v>0-65535</v>
      </c>
      <c r="L588" s="3">
        <f t="shared" si="10"/>
        <v>0</v>
      </c>
    </row>
    <row r="589" spans="1:12" x14ac:dyDescent="0.2">
      <c r="A589" s="3" t="s">
        <v>147</v>
      </c>
      <c r="B589" s="3" t="str">
        <f xml:space="preserve"> SUBSTITUTE(RIGHT(SUBSTITUTE(Network_Connections[[#This Row],[from]],"_",REPT("*",10)),10),"*","")</f>
        <v>WS8</v>
      </c>
      <c r="C589" s="3" t="str">
        <f>INDEX(Assets[Asset_ID],MATCH(Network_Connections[[#This Row],[From1]],Assets[name],0))</f>
        <v>A00025</v>
      </c>
      <c r="D589" s="3" t="s">
        <v>162</v>
      </c>
      <c r="E589" s="3" t="str">
        <f xml:space="preserve"> SUBSTITUTE(RIGHT(SUBSTITUTE(Network_Connections[[#This Row],[to]],"_",REPT("*",10)),10),"*","")</f>
        <v>Banking</v>
      </c>
      <c r="F589" s="3" t="str">
        <f>INDEX(Assets[Asset_ID],MATCH(Network_Connections[[#This Row],[From2]],Assets[name],0))</f>
        <v>A00009</v>
      </c>
      <c r="G589" s="3" t="s">
        <v>145</v>
      </c>
      <c r="H589" s="3" t="s">
        <v>144</v>
      </c>
      <c r="I589" s="3">
        <v>0</v>
      </c>
      <c r="J58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89" s="3" t="str">
        <f>RIGHT(Network_Connections[[#This Row],[port/protocol]],LEN(Network_Connections[[#This Row],[port/protocol]])-FIND("/",Network_Connections[[#This Row],[port/protocol]]))</f>
        <v>0-65535</v>
      </c>
      <c r="L589" s="3">
        <f t="shared" si="10"/>
        <v>0</v>
      </c>
    </row>
    <row r="590" spans="1:12" x14ac:dyDescent="0.2">
      <c r="A590" s="3" t="s">
        <v>147</v>
      </c>
      <c r="B590" s="3" t="str">
        <f xml:space="preserve"> SUBSTITUTE(RIGHT(SUBSTITUTE(Network_Connections[[#This Row],[from]],"_",REPT("*",10)),10),"*","")</f>
        <v>WS8</v>
      </c>
      <c r="C590" s="3" t="str">
        <f>INDEX(Assets[Asset_ID],MATCH(Network_Connections[[#This Row],[From1]],Assets[name],0))</f>
        <v>A00025</v>
      </c>
      <c r="D590" s="3" t="s">
        <v>161</v>
      </c>
      <c r="E590" s="3" t="str">
        <f xml:space="preserve"> SUBSTITUTE(RIGHT(SUBSTITUTE(Network_Connections[[#This Row],[to]],"_",REPT("*",10)),10),"*","")</f>
        <v>Email</v>
      </c>
      <c r="F590" s="3" t="str">
        <f>INDEX(Assets[Asset_ID],MATCH(Network_Connections[[#This Row],[From2]],Assets[name],0))</f>
        <v>A00010</v>
      </c>
      <c r="G590" s="3" t="s">
        <v>145</v>
      </c>
      <c r="H590" s="3" t="s">
        <v>144</v>
      </c>
      <c r="I590" s="3">
        <v>0</v>
      </c>
      <c r="J59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0" s="3" t="str">
        <f>RIGHT(Network_Connections[[#This Row],[port/protocol]],LEN(Network_Connections[[#This Row],[port/protocol]])-FIND("/",Network_Connections[[#This Row],[port/protocol]]))</f>
        <v>0-65535</v>
      </c>
      <c r="L590" s="3">
        <f t="shared" si="10"/>
        <v>0</v>
      </c>
    </row>
    <row r="591" spans="1:12" x14ac:dyDescent="0.2">
      <c r="A591" s="3" t="s">
        <v>147</v>
      </c>
      <c r="B591" s="3" t="str">
        <f xml:space="preserve"> SUBSTITUTE(RIGHT(SUBSTITUTE(Network_Connections[[#This Row],[from]],"_",REPT("*",10)),10),"*","")</f>
        <v>WS8</v>
      </c>
      <c r="C591" s="3" t="str">
        <f>INDEX(Assets[Asset_ID],MATCH(Network_Connections[[#This Row],[From1]],Assets[name],0))</f>
        <v>A00025</v>
      </c>
      <c r="D591" s="3" t="s">
        <v>160</v>
      </c>
      <c r="E591" s="3" t="str">
        <f xml:space="preserve"> SUBSTITUTE(RIGHT(SUBSTITUTE(Network_Connections[[#This Row],[to]],"_",REPT("*",10)),10),"*","")</f>
        <v>WMS</v>
      </c>
      <c r="F591" s="3" t="str">
        <f>INDEX(Assets[Asset_ID],MATCH(Network_Connections[[#This Row],[From2]],Assets[name],0))</f>
        <v>A00011</v>
      </c>
      <c r="G591" s="3" t="s">
        <v>145</v>
      </c>
      <c r="H591" s="3" t="s">
        <v>144</v>
      </c>
      <c r="I591" s="3">
        <v>0</v>
      </c>
      <c r="J59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1" s="3" t="str">
        <f>RIGHT(Network_Connections[[#This Row],[port/protocol]],LEN(Network_Connections[[#This Row],[port/protocol]])-FIND("/",Network_Connections[[#This Row],[port/protocol]]))</f>
        <v>0-65535</v>
      </c>
      <c r="L591" s="3">
        <f t="shared" si="10"/>
        <v>0</v>
      </c>
    </row>
    <row r="592" spans="1:12" x14ac:dyDescent="0.2">
      <c r="A592" s="3" t="s">
        <v>147</v>
      </c>
      <c r="B592" s="3" t="str">
        <f xml:space="preserve"> SUBSTITUTE(RIGHT(SUBSTITUTE(Network_Connections[[#This Row],[from]],"_",REPT("*",10)),10),"*","")</f>
        <v>WS8</v>
      </c>
      <c r="C592" s="3" t="str">
        <f>INDEX(Assets[Asset_ID],MATCH(Network_Connections[[#This Row],[From1]],Assets[name],0))</f>
        <v>A00025</v>
      </c>
      <c r="D592" s="3" t="s">
        <v>159</v>
      </c>
      <c r="E592" s="3" t="str">
        <f xml:space="preserve"> SUBSTITUTE(RIGHT(SUBSTITUTE(Network_Connections[[#This Row],[to]],"_",REPT("*",10)),10),"*","")</f>
        <v>CRM</v>
      </c>
      <c r="F592" s="3" t="str">
        <f>INDEX(Assets[Asset_ID],MATCH(Network_Connections[[#This Row],[From2]],Assets[name],0))</f>
        <v>A00012</v>
      </c>
      <c r="G592" s="3" t="s">
        <v>145</v>
      </c>
      <c r="H592" s="3" t="s">
        <v>144</v>
      </c>
      <c r="I592" s="3">
        <v>0</v>
      </c>
      <c r="J59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2" s="3" t="str">
        <f>RIGHT(Network_Connections[[#This Row],[port/protocol]],LEN(Network_Connections[[#This Row],[port/protocol]])-FIND("/",Network_Connections[[#This Row],[port/protocol]]))</f>
        <v>0-65535</v>
      </c>
      <c r="L592" s="3">
        <f t="shared" si="10"/>
        <v>0</v>
      </c>
    </row>
    <row r="593" spans="1:12" x14ac:dyDescent="0.2">
      <c r="A593" s="3" t="s">
        <v>147</v>
      </c>
      <c r="B593" s="3" t="str">
        <f xml:space="preserve"> SUBSTITUTE(RIGHT(SUBSTITUTE(Network_Connections[[#This Row],[from]],"_",REPT("*",10)),10),"*","")</f>
        <v>WS8</v>
      </c>
      <c r="C593" s="3" t="str">
        <f>INDEX(Assets[Asset_ID],MATCH(Network_Connections[[#This Row],[From1]],Assets[name],0))</f>
        <v>A00025</v>
      </c>
      <c r="D593" s="3" t="s">
        <v>158</v>
      </c>
      <c r="E593" s="3" t="str">
        <f xml:space="preserve"> SUBSTITUTE(RIGHT(SUBSTITUTE(Network_Connections[[#This Row],[to]],"_",REPT("*",10)),10),"*","")</f>
        <v>WIFI1</v>
      </c>
      <c r="F593" s="3" t="str">
        <f>INDEX(Assets[Asset_ID],MATCH(Network_Connections[[#This Row],[From2]],Assets[name],0))</f>
        <v>A00013</v>
      </c>
      <c r="G593" s="3" t="s">
        <v>145</v>
      </c>
      <c r="H593" s="3" t="s">
        <v>144</v>
      </c>
      <c r="I593" s="3">
        <v>0</v>
      </c>
      <c r="J59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3" s="3" t="str">
        <f>RIGHT(Network_Connections[[#This Row],[port/protocol]],LEN(Network_Connections[[#This Row],[port/protocol]])-FIND("/",Network_Connections[[#This Row],[port/protocol]]))</f>
        <v>0-65535</v>
      </c>
      <c r="L593" s="3">
        <f t="shared" si="10"/>
        <v>0</v>
      </c>
    </row>
    <row r="594" spans="1:12" x14ac:dyDescent="0.2">
      <c r="A594" s="3" t="s">
        <v>147</v>
      </c>
      <c r="B594" s="3" t="str">
        <f xml:space="preserve"> SUBSTITUTE(RIGHT(SUBSTITUTE(Network_Connections[[#This Row],[from]],"_",REPT("*",10)),10),"*","")</f>
        <v>WS8</v>
      </c>
      <c r="C594" s="3" t="str">
        <f>INDEX(Assets[Asset_ID],MATCH(Network_Connections[[#This Row],[From1]],Assets[name],0))</f>
        <v>A00025</v>
      </c>
      <c r="D594" s="3" t="s">
        <v>157</v>
      </c>
      <c r="E594" s="3" t="str">
        <f xml:space="preserve"> SUBSTITUTE(RIGHT(SUBSTITUTE(Network_Connections[[#This Row],[to]],"_",REPT("*",10)),10),"*","")</f>
        <v>WS1</v>
      </c>
      <c r="F594" s="3" t="str">
        <f>INDEX(Assets[Asset_ID],MATCH(Network_Connections[[#This Row],[From2]],Assets[name],0))</f>
        <v>A00014</v>
      </c>
      <c r="G594" s="3" t="s">
        <v>145</v>
      </c>
      <c r="H594" s="3" t="s">
        <v>144</v>
      </c>
      <c r="I594" s="3">
        <v>0</v>
      </c>
      <c r="J59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4" s="3" t="str">
        <f>RIGHT(Network_Connections[[#This Row],[port/protocol]],LEN(Network_Connections[[#This Row],[port/protocol]])-FIND("/",Network_Connections[[#This Row],[port/protocol]]))</f>
        <v>0-65535</v>
      </c>
      <c r="L594" s="3">
        <f t="shared" si="10"/>
        <v>0</v>
      </c>
    </row>
    <row r="595" spans="1:12" x14ac:dyDescent="0.2">
      <c r="A595" s="3" t="s">
        <v>147</v>
      </c>
      <c r="B595" s="3" t="str">
        <f xml:space="preserve"> SUBSTITUTE(RIGHT(SUBSTITUTE(Network_Connections[[#This Row],[from]],"_",REPT("*",10)),10),"*","")</f>
        <v>WS8</v>
      </c>
      <c r="C595" s="3" t="str">
        <f>INDEX(Assets[Asset_ID],MATCH(Network_Connections[[#This Row],[From1]],Assets[name],0))</f>
        <v>A00025</v>
      </c>
      <c r="D595" s="3" t="s">
        <v>156</v>
      </c>
      <c r="E595" s="3" t="str">
        <f xml:space="preserve"> SUBSTITUTE(RIGHT(SUBSTITUTE(Network_Connections[[#This Row],[to]],"_",REPT("*",10)),10),"*","")</f>
        <v>FW3</v>
      </c>
      <c r="F595" s="3" t="str">
        <f>INDEX(Assets[Asset_ID],MATCH(Network_Connections[[#This Row],[From2]],Assets[name],0))</f>
        <v>A00015</v>
      </c>
      <c r="G595" s="3" t="s">
        <v>145</v>
      </c>
      <c r="H595" s="3" t="s">
        <v>144</v>
      </c>
      <c r="I595" s="3">
        <v>0</v>
      </c>
      <c r="J595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5" s="3" t="str">
        <f>RIGHT(Network_Connections[[#This Row],[port/protocol]],LEN(Network_Connections[[#This Row],[port/protocol]])-FIND("/",Network_Connections[[#This Row],[port/protocol]]))</f>
        <v>0-65535</v>
      </c>
      <c r="L595" s="3">
        <f t="shared" si="10"/>
        <v>0</v>
      </c>
    </row>
    <row r="596" spans="1:12" x14ac:dyDescent="0.2">
      <c r="A596" s="3" t="s">
        <v>147</v>
      </c>
      <c r="B596" s="3" t="str">
        <f xml:space="preserve"> SUBSTITUTE(RIGHT(SUBSTITUTE(Network_Connections[[#This Row],[from]],"_",REPT("*",10)),10),"*","")</f>
        <v>WS8</v>
      </c>
      <c r="C596" s="3" t="str">
        <f>INDEX(Assets[Asset_ID],MATCH(Network_Connections[[#This Row],[From1]],Assets[name],0))</f>
        <v>A00025</v>
      </c>
      <c r="D596" s="3" t="s">
        <v>155</v>
      </c>
      <c r="E596" s="3" t="str">
        <f xml:space="preserve"> SUBSTITUTE(RIGHT(SUBSTITUTE(Network_Connections[[#This Row],[to]],"_",REPT("*",10)),10),"*","")</f>
        <v>SW2</v>
      </c>
      <c r="F596" s="3" t="str">
        <f>INDEX(Assets[Asset_ID],MATCH(Network_Connections[[#This Row],[From2]],Assets[name],0))</f>
        <v>A00016</v>
      </c>
      <c r="G596" s="3" t="s">
        <v>145</v>
      </c>
      <c r="H596" s="3" t="s">
        <v>144</v>
      </c>
      <c r="I596" s="3">
        <v>0</v>
      </c>
      <c r="J596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6" s="3" t="str">
        <f>RIGHT(Network_Connections[[#This Row],[port/protocol]],LEN(Network_Connections[[#This Row],[port/protocol]])-FIND("/",Network_Connections[[#This Row],[port/protocol]]))</f>
        <v>0-65535</v>
      </c>
      <c r="L596" s="3">
        <f t="shared" si="10"/>
        <v>0</v>
      </c>
    </row>
    <row r="597" spans="1:12" x14ac:dyDescent="0.2">
      <c r="A597" s="3" t="s">
        <v>147</v>
      </c>
      <c r="B597" s="3" t="str">
        <f xml:space="preserve"> SUBSTITUTE(RIGHT(SUBSTITUTE(Network_Connections[[#This Row],[from]],"_",REPT("*",10)),10),"*","")</f>
        <v>WS8</v>
      </c>
      <c r="C597" s="3" t="str">
        <f>INDEX(Assets[Asset_ID],MATCH(Network_Connections[[#This Row],[From1]],Assets[name],0))</f>
        <v>A00025</v>
      </c>
      <c r="D597" s="3" t="s">
        <v>154</v>
      </c>
      <c r="E597" s="3" t="str">
        <f xml:space="preserve"> SUBSTITUTE(RIGHT(SUBSTITUTE(Network_Connections[[#This Row],[to]],"_",REPT("*",10)),10),"*","")</f>
        <v>WS2</v>
      </c>
      <c r="F597" s="3" t="str">
        <f>INDEX(Assets[Asset_ID],MATCH(Network_Connections[[#This Row],[From2]],Assets[name],0))</f>
        <v>A00017</v>
      </c>
      <c r="G597" s="3" t="s">
        <v>145</v>
      </c>
      <c r="H597" s="3" t="s">
        <v>144</v>
      </c>
      <c r="I597" s="3">
        <v>0</v>
      </c>
      <c r="J597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7" s="3" t="str">
        <f>RIGHT(Network_Connections[[#This Row],[port/protocol]],LEN(Network_Connections[[#This Row],[port/protocol]])-FIND("/",Network_Connections[[#This Row],[port/protocol]]))</f>
        <v>0-65535</v>
      </c>
      <c r="L597" s="3">
        <f t="shared" si="10"/>
        <v>0</v>
      </c>
    </row>
    <row r="598" spans="1:12" x14ac:dyDescent="0.2">
      <c r="A598" s="3" t="s">
        <v>147</v>
      </c>
      <c r="B598" s="3" t="str">
        <f xml:space="preserve"> SUBSTITUTE(RIGHT(SUBSTITUTE(Network_Connections[[#This Row],[from]],"_",REPT("*",10)),10),"*","")</f>
        <v>WS8</v>
      </c>
      <c r="C598" s="3" t="str">
        <f>INDEX(Assets[Asset_ID],MATCH(Network_Connections[[#This Row],[From1]],Assets[name],0))</f>
        <v>A00025</v>
      </c>
      <c r="D598" s="3" t="s">
        <v>153</v>
      </c>
      <c r="E598" s="3" t="str">
        <f xml:space="preserve"> SUBSTITUTE(RIGHT(SUBSTITUTE(Network_Connections[[#This Row],[to]],"_",REPT("*",10)),10),"*","")</f>
        <v>WS3</v>
      </c>
      <c r="F598" s="3" t="str">
        <f>INDEX(Assets[Asset_ID],MATCH(Network_Connections[[#This Row],[From2]],Assets[name],0))</f>
        <v>A00018</v>
      </c>
      <c r="G598" s="3" t="s">
        <v>145</v>
      </c>
      <c r="H598" s="3" t="s">
        <v>144</v>
      </c>
      <c r="I598" s="3">
        <v>0</v>
      </c>
      <c r="J598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8" s="3" t="str">
        <f>RIGHT(Network_Connections[[#This Row],[port/protocol]],LEN(Network_Connections[[#This Row],[port/protocol]])-FIND("/",Network_Connections[[#This Row],[port/protocol]]))</f>
        <v>0-65535</v>
      </c>
      <c r="L598" s="3">
        <f t="shared" si="10"/>
        <v>0</v>
      </c>
    </row>
    <row r="599" spans="1:12" x14ac:dyDescent="0.2">
      <c r="A599" s="3" t="s">
        <v>147</v>
      </c>
      <c r="B599" s="3" t="str">
        <f xml:space="preserve"> SUBSTITUTE(RIGHT(SUBSTITUTE(Network_Connections[[#This Row],[from]],"_",REPT("*",10)),10),"*","")</f>
        <v>WS8</v>
      </c>
      <c r="C599" s="3" t="str">
        <f>INDEX(Assets[Asset_ID],MATCH(Network_Connections[[#This Row],[From1]],Assets[name],0))</f>
        <v>A00025</v>
      </c>
      <c r="D599" s="3" t="s">
        <v>152</v>
      </c>
      <c r="E599" s="3" t="str">
        <f xml:space="preserve"> SUBSTITUTE(RIGHT(SUBSTITUTE(Network_Connections[[#This Row],[to]],"_",REPT("*",10)),10),"*","")</f>
        <v>WS4</v>
      </c>
      <c r="F599" s="3" t="str">
        <f>INDEX(Assets[Asset_ID],MATCH(Network_Connections[[#This Row],[From2]],Assets[name],0))</f>
        <v>A00019</v>
      </c>
      <c r="G599" s="3" t="s">
        <v>145</v>
      </c>
      <c r="H599" s="3" t="s">
        <v>144</v>
      </c>
      <c r="I599" s="3">
        <v>0</v>
      </c>
      <c r="J599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599" s="3" t="str">
        <f>RIGHT(Network_Connections[[#This Row],[port/protocol]],LEN(Network_Connections[[#This Row],[port/protocol]])-FIND("/",Network_Connections[[#This Row],[port/protocol]]))</f>
        <v>0-65535</v>
      </c>
      <c r="L599" s="3">
        <f t="shared" si="10"/>
        <v>0</v>
      </c>
    </row>
    <row r="600" spans="1:12" x14ac:dyDescent="0.2">
      <c r="A600" s="3" t="s">
        <v>147</v>
      </c>
      <c r="B600" s="3" t="str">
        <f xml:space="preserve"> SUBSTITUTE(RIGHT(SUBSTITUTE(Network_Connections[[#This Row],[from]],"_",REPT("*",10)),10),"*","")</f>
        <v>WS8</v>
      </c>
      <c r="C600" s="3" t="str">
        <f>INDEX(Assets[Asset_ID],MATCH(Network_Connections[[#This Row],[From1]],Assets[name],0))</f>
        <v>A00025</v>
      </c>
      <c r="D600" s="3" t="s">
        <v>151</v>
      </c>
      <c r="E600" s="3" t="str">
        <f xml:space="preserve"> SUBSTITUTE(RIGHT(SUBSTITUTE(Network_Connections[[#This Row],[to]],"_",REPT("*",10)),10),"*","")</f>
        <v>FW4</v>
      </c>
      <c r="F600" s="3" t="str">
        <f>INDEX(Assets[Asset_ID],MATCH(Network_Connections[[#This Row],[From2]],Assets[name],0))</f>
        <v>A00020</v>
      </c>
      <c r="G600" s="3" t="s">
        <v>145</v>
      </c>
      <c r="H600" s="3" t="s">
        <v>144</v>
      </c>
      <c r="I600" s="3">
        <v>0</v>
      </c>
      <c r="J600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00" s="3" t="str">
        <f>RIGHT(Network_Connections[[#This Row],[port/protocol]],LEN(Network_Connections[[#This Row],[port/protocol]])-FIND("/",Network_Connections[[#This Row],[port/protocol]]))</f>
        <v>0-65535</v>
      </c>
      <c r="L600" s="3">
        <f t="shared" si="10"/>
        <v>0</v>
      </c>
    </row>
    <row r="601" spans="1:12" x14ac:dyDescent="0.2">
      <c r="A601" s="3" t="s">
        <v>147</v>
      </c>
      <c r="B601" s="3" t="str">
        <f xml:space="preserve"> SUBSTITUTE(RIGHT(SUBSTITUTE(Network_Connections[[#This Row],[from]],"_",REPT("*",10)),10),"*","")</f>
        <v>WS8</v>
      </c>
      <c r="C601" s="3" t="str">
        <f>INDEX(Assets[Asset_ID],MATCH(Network_Connections[[#This Row],[From1]],Assets[name],0))</f>
        <v>A00025</v>
      </c>
      <c r="D601" s="3" t="s">
        <v>150</v>
      </c>
      <c r="E601" s="3" t="str">
        <f xml:space="preserve"> SUBSTITUTE(RIGHT(SUBSTITUTE(Network_Connections[[#This Row],[to]],"_",REPT("*",10)),10),"*","")</f>
        <v>WIFI2</v>
      </c>
      <c r="F601" s="3" t="str">
        <f>INDEX(Assets[Asset_ID],MATCH(Network_Connections[[#This Row],[From2]],Assets[name],0))</f>
        <v>A00021</v>
      </c>
      <c r="G601" s="3" t="s">
        <v>145</v>
      </c>
      <c r="H601" s="3" t="s">
        <v>144</v>
      </c>
      <c r="I601" s="3">
        <v>0</v>
      </c>
      <c r="J601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01" s="3" t="str">
        <f>RIGHT(Network_Connections[[#This Row],[port/protocol]],LEN(Network_Connections[[#This Row],[port/protocol]])-FIND("/",Network_Connections[[#This Row],[port/protocol]]))</f>
        <v>0-65535</v>
      </c>
      <c r="L601" s="3">
        <f t="shared" si="10"/>
        <v>0</v>
      </c>
    </row>
    <row r="602" spans="1:12" x14ac:dyDescent="0.2">
      <c r="A602" s="3" t="s">
        <v>147</v>
      </c>
      <c r="B602" s="3" t="str">
        <f xml:space="preserve"> SUBSTITUTE(RIGHT(SUBSTITUTE(Network_Connections[[#This Row],[from]],"_",REPT("*",10)),10),"*","")</f>
        <v>WS8</v>
      </c>
      <c r="C602" s="3" t="str">
        <f>INDEX(Assets[Asset_ID],MATCH(Network_Connections[[#This Row],[From1]],Assets[name],0))</f>
        <v>A00025</v>
      </c>
      <c r="D602" s="3" t="s">
        <v>149</v>
      </c>
      <c r="E602" s="3" t="str">
        <f xml:space="preserve"> SUBSTITUTE(RIGHT(SUBSTITUTE(Network_Connections[[#This Row],[to]],"_",REPT("*",10)),10),"*","")</f>
        <v>WS5</v>
      </c>
      <c r="F602" s="3" t="str">
        <f>INDEX(Assets[Asset_ID],MATCH(Network_Connections[[#This Row],[From2]],Assets[name],0))</f>
        <v>A00022</v>
      </c>
      <c r="G602" s="3" t="s">
        <v>145</v>
      </c>
      <c r="H602" s="3" t="s">
        <v>144</v>
      </c>
      <c r="I602" s="3">
        <v>0</v>
      </c>
      <c r="J602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02" s="3" t="str">
        <f>RIGHT(Network_Connections[[#This Row],[port/protocol]],LEN(Network_Connections[[#This Row],[port/protocol]])-FIND("/",Network_Connections[[#This Row],[port/protocol]]))</f>
        <v>0-65535</v>
      </c>
      <c r="L602" s="3">
        <f t="shared" si="10"/>
        <v>0</v>
      </c>
    </row>
    <row r="603" spans="1:12" x14ac:dyDescent="0.2">
      <c r="A603" s="3" t="s">
        <v>147</v>
      </c>
      <c r="B603" s="3" t="str">
        <f xml:space="preserve"> SUBSTITUTE(RIGHT(SUBSTITUTE(Network_Connections[[#This Row],[from]],"_",REPT("*",10)),10),"*","")</f>
        <v>WS8</v>
      </c>
      <c r="C603" s="3" t="str">
        <f>INDEX(Assets[Asset_ID],MATCH(Network_Connections[[#This Row],[From1]],Assets[name],0))</f>
        <v>A00025</v>
      </c>
      <c r="D603" s="3" t="s">
        <v>148</v>
      </c>
      <c r="E603" s="3" t="str">
        <f xml:space="preserve"> SUBSTITUTE(RIGHT(SUBSTITUTE(Network_Connections[[#This Row],[to]],"_",REPT("*",10)),10),"*","")</f>
        <v>WS6</v>
      </c>
      <c r="F603" s="3" t="str">
        <f>INDEX(Assets[Asset_ID],MATCH(Network_Connections[[#This Row],[From2]],Assets[name],0))</f>
        <v>A00023</v>
      </c>
      <c r="G603" s="3" t="s">
        <v>145</v>
      </c>
      <c r="H603" s="3" t="s">
        <v>144</v>
      </c>
      <c r="I603" s="3">
        <v>0</v>
      </c>
      <c r="J603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03" s="3" t="str">
        <f>RIGHT(Network_Connections[[#This Row],[port/protocol]],LEN(Network_Connections[[#This Row],[port/protocol]])-FIND("/",Network_Connections[[#This Row],[port/protocol]]))</f>
        <v>0-65535</v>
      </c>
      <c r="L603" s="3">
        <f t="shared" si="10"/>
        <v>0</v>
      </c>
    </row>
    <row r="604" spans="1:12" x14ac:dyDescent="0.2">
      <c r="A604" s="3" t="s">
        <v>147</v>
      </c>
      <c r="B604" s="3" t="str">
        <f xml:space="preserve"> SUBSTITUTE(RIGHT(SUBSTITUTE(Network_Connections[[#This Row],[from]],"_",REPT("*",10)),10),"*","")</f>
        <v>WS8</v>
      </c>
      <c r="C604" s="3" t="str">
        <f>INDEX(Assets[Asset_ID],MATCH(Network_Connections[[#This Row],[From1]],Assets[name],0))</f>
        <v>A00025</v>
      </c>
      <c r="D604" s="3" t="s">
        <v>146</v>
      </c>
      <c r="E604" s="3" t="str">
        <f xml:space="preserve"> SUBSTITUTE(RIGHT(SUBSTITUTE(Network_Connections[[#This Row],[to]],"_",REPT("*",10)),10),"*","")</f>
        <v>WS7</v>
      </c>
      <c r="F604" s="3" t="str">
        <f>INDEX(Assets[Asset_ID],MATCH(Network_Connections[[#This Row],[From2]],Assets[name],0))</f>
        <v>A00024</v>
      </c>
      <c r="G604" s="3" t="s">
        <v>145</v>
      </c>
      <c r="H604" s="3" t="s">
        <v>144</v>
      </c>
      <c r="I604" s="3">
        <v>0</v>
      </c>
      <c r="J604" s="3" t="str">
        <f>IFERROR(IF(Network_Connections[[#This Row],[has_connectivity]]=1,INSERT9&amp;" "&amp;""""&amp;Network_Connections[[#This Row],[ASSET_ID_FROM]]&amp;""""&amp;"-&gt;"&amp;""""&amp;Network_Connections[[#This Row],[ASSET_ID_TO]]&amp;""""&amp;"@"&amp;TEXT(Network_Connections[[#This Row],[Rank]],"00")&amp;":("&amp;""""&amp;UPPER(LEFT(Network_Connections[[#This Row],[port/protocol]],FIND("/",Network_Connections[[#This Row],[port/protocol]])-1))&amp;""""&amp;", "&amp;""""&amp;RIGHT(Network_Connections[[#This Row],[port/protocol]],LEN(Network_Connections[[#This Row],[port/protocol]])-FIND("/",Network_Connections[[#This Row],[port/protocol]]))&amp;""""&amp;");","--"),"--")</f>
        <v>--</v>
      </c>
      <c r="K604" s="3" t="str">
        <f>RIGHT(Network_Connections[[#This Row],[port/protocol]],LEN(Network_Connections[[#This Row],[port/protocol]])-FIND("/",Network_Connections[[#This Row],[port/protocol]]))</f>
        <v>0-65535</v>
      </c>
      <c r="L604" s="3">
        <f t="shared" si="10"/>
        <v>0</v>
      </c>
    </row>
    <row r="605" spans="1:12" x14ac:dyDescent="0.2">
      <c r="A605" s="3" t="s">
        <v>307</v>
      </c>
      <c r="B605" s="3"/>
      <c r="C605" s="3"/>
      <c r="D605" s="3"/>
      <c r="E605" s="3"/>
      <c r="F605" s="3"/>
      <c r="G605" s="3"/>
      <c r="H605" s="3"/>
      <c r="I605" s="3">
        <f>SUBTOTAL(109,Network_Connections[has_connectivity])</f>
        <v>146</v>
      </c>
      <c r="J605" s="3"/>
      <c r="K605" s="3">
        <f>SUBTOTAL(103,Network_Connections[Test])</f>
        <v>603</v>
      </c>
      <c r="L605" s="3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83BA-6C1F-E048-97CF-C8CB0E37D705}">
  <dimension ref="B2:B147"/>
  <sheetViews>
    <sheetView workbookViewId="0">
      <selection activeCell="F21" sqref="F21"/>
    </sheetView>
  </sheetViews>
  <sheetFormatPr baseColWidth="10" defaultRowHeight="16" x14ac:dyDescent="0.2"/>
  <cols>
    <col min="2" max="2" width="106.1640625" customWidth="1"/>
  </cols>
  <sheetData>
    <row r="2" spans="2:2" x14ac:dyDescent="0.2">
      <c r="B2" t="str" cm="1">
        <f t="array" ref="B2:B147">_xlfn._xlws.FILTER(_xlfn.TOCOL(Network_Connections[[Script]:[Script]]),_xlfn.TOCOL(Network_Connections[[Script]:[Script]])&lt;&gt;"--")</f>
        <v>INSERT EDGE IF NOT EXISTS connects_to(Connection_Protocol, Connection_Port) VALUES "A00001"-&gt;"A00002"@00:("IP", "0-65535");</v>
      </c>
    </row>
    <row r="3" spans="2:2" x14ac:dyDescent="0.2">
      <c r="B3" t="str">
        <v>INSERT EDGE IF NOT EXISTS connects_to(Connection_Protocol, Connection_Port) VALUES "A00001"-&gt;"A00003"@00:("IP", "0-65535");</v>
      </c>
    </row>
    <row r="4" spans="2:2" x14ac:dyDescent="0.2">
      <c r="B4" t="str">
        <v>INSERT EDGE IF NOT EXISTS connects_to(Connection_Protocol, Connection_Port) VALUES "A00001"-&gt;"A00004"@00:("IP", "0-65535");</v>
      </c>
    </row>
    <row r="5" spans="2:2" x14ac:dyDescent="0.2">
      <c r="B5" t="str">
        <v>INSERT EDGE IF NOT EXISTS connects_to(Connection_Protocol, Connection_Port) VALUES "A00001"-&gt;"A00005"@00:("IP", "0-65535");</v>
      </c>
    </row>
    <row r="6" spans="2:2" x14ac:dyDescent="0.2">
      <c r="B6" t="str">
        <v>INSERT EDGE IF NOT EXISTS connects_to(Connection_Protocol, Connection_Port) VALUES "A00002"-&gt;"A00003"@00:("IP", "0-65535");</v>
      </c>
    </row>
    <row r="7" spans="2:2" x14ac:dyDescent="0.2">
      <c r="B7" t="str">
        <v>INSERT EDGE IF NOT EXISTS connects_to(Connection_Protocol, Connection_Port) VALUES "A00002"-&gt;"A00004"@00:("IP", "0-65535");</v>
      </c>
    </row>
    <row r="8" spans="2:2" x14ac:dyDescent="0.2">
      <c r="B8" t="str">
        <v>INSERT EDGE IF NOT EXISTS connects_to(Connection_Protocol, Connection_Port) VALUES "A00002"-&gt;"A00007"@00:("TCP", "389");</v>
      </c>
    </row>
    <row r="9" spans="2:2" x14ac:dyDescent="0.2">
      <c r="B9" t="str">
        <v>INSERT EDGE IF NOT EXISTS connects_to(Connection_Protocol, Connection_Port) VALUES "A00003"-&gt;"A00002"@00:("IP", "0-65535");</v>
      </c>
    </row>
    <row r="10" spans="2:2" x14ac:dyDescent="0.2">
      <c r="B10" t="str">
        <v>INSERT EDGE IF NOT EXISTS connects_to(Connection_Protocol, Connection_Port) VALUES "A00003"-&gt;"A00004"@00:("IP", "0-65535");</v>
      </c>
    </row>
    <row r="11" spans="2:2" x14ac:dyDescent="0.2">
      <c r="B11" t="str">
        <v>INSERT EDGE IF NOT EXISTS connects_to(Connection_Protocol, Connection_Port) VALUES "A00003"-&gt;"A00010"@00:("TCP", "25");</v>
      </c>
    </row>
    <row r="12" spans="2:2" x14ac:dyDescent="0.2">
      <c r="B12" t="str">
        <v>INSERT EDGE IF NOT EXISTS connects_to(Connection_Protocol, Connection_Port) VALUES "A00004"-&gt;"A00010"@00:("TCP", "443");</v>
      </c>
    </row>
    <row r="13" spans="2:2" x14ac:dyDescent="0.2">
      <c r="B13" t="str">
        <v>INSERT EDGE IF NOT EXISTS connects_to(Connection_Protocol, Connection_Port) VALUES "A00004"-&gt;"A00002"@00:("IP", "0-65535");</v>
      </c>
    </row>
    <row r="14" spans="2:2" x14ac:dyDescent="0.2">
      <c r="B14" t="str">
        <v>INSERT EDGE IF NOT EXISTS connects_to(Connection_Protocol, Connection_Port) VALUES "A00004"-&gt;"A00003"@00:("IP", "0-65535");</v>
      </c>
    </row>
    <row r="15" spans="2:2" x14ac:dyDescent="0.2">
      <c r="B15" t="str">
        <v>INSERT EDGE IF NOT EXISTS connects_to(Connection_Protocol, Connection_Port) VALUES "A00004"-&gt;"A00007"@00:("IP", "0-65535");</v>
      </c>
    </row>
    <row r="16" spans="2:2" x14ac:dyDescent="0.2">
      <c r="B16" t="str">
        <v>INSERT EDGE IF NOT EXISTS connects_to(Connection_Protocol, Connection_Port) VALUES "A00004"-&gt;"A00012"@00:("IP", "0-65535");</v>
      </c>
    </row>
    <row r="17" spans="2:2" x14ac:dyDescent="0.2">
      <c r="B17" t="str">
        <v>INSERT EDGE IF NOT EXISTS connects_to(Connection_Protocol, Connection_Port) VALUES "A00005"-&gt;"A00006"@00:("IP", "0-65535");</v>
      </c>
    </row>
    <row r="18" spans="2:2" x14ac:dyDescent="0.2">
      <c r="B18" t="str">
        <v>INSERT EDGE IF NOT EXISTS connects_to(Connection_Protocol, Connection_Port) VALUES "A00005"-&gt;"A00007"@00:("IP", "0-65535");</v>
      </c>
    </row>
    <row r="19" spans="2:2" x14ac:dyDescent="0.2">
      <c r="B19" t="str">
        <v>INSERT EDGE IF NOT EXISTS connects_to(Connection_Protocol, Connection_Port) VALUES "A00005"-&gt;"A00008"@00:("IP", "0-65535");</v>
      </c>
    </row>
    <row r="20" spans="2:2" x14ac:dyDescent="0.2">
      <c r="B20" t="str">
        <v>INSERT EDGE IF NOT EXISTS connects_to(Connection_Protocol, Connection_Port) VALUES "A00005"-&gt;"A00009"@00:("IP", "0-65535");</v>
      </c>
    </row>
    <row r="21" spans="2:2" x14ac:dyDescent="0.2">
      <c r="B21" t="str">
        <v>INSERT EDGE IF NOT EXISTS connects_to(Connection_Protocol, Connection_Port) VALUES "A00005"-&gt;"A00010"@00:("IP", "0-65535");</v>
      </c>
    </row>
    <row r="22" spans="2:2" x14ac:dyDescent="0.2">
      <c r="B22" t="str">
        <v>INSERT EDGE IF NOT EXISTS connects_to(Connection_Protocol, Connection_Port) VALUES "A00005"-&gt;"A00011"@00:("IP", "0-65535");</v>
      </c>
    </row>
    <row r="23" spans="2:2" x14ac:dyDescent="0.2">
      <c r="B23" t="str">
        <v>INSERT EDGE IF NOT EXISTS connects_to(Connection_Protocol, Connection_Port) VALUES "A00005"-&gt;"A00012"@00:("IP", "0-65535");</v>
      </c>
    </row>
    <row r="24" spans="2:2" x14ac:dyDescent="0.2">
      <c r="B24" t="str">
        <v>INSERT EDGE IF NOT EXISTS connects_to(Connection_Protocol, Connection_Port) VALUES "A00005"-&gt;"A00015"@00:("IP", "0-65535");</v>
      </c>
    </row>
    <row r="25" spans="2:2" x14ac:dyDescent="0.2">
      <c r="B25" t="str">
        <v>INSERT EDGE IF NOT EXISTS connects_to(Connection_Protocol, Connection_Port) VALUES "A00005"-&gt;"A00020"@00:("IP", "0-65535");</v>
      </c>
    </row>
    <row r="26" spans="2:2" x14ac:dyDescent="0.2">
      <c r="B26" t="str">
        <v>INSERT EDGE IF NOT EXISTS connects_to(Connection_Protocol, Connection_Port) VALUES "A00006"-&gt;"A00005"@00:("IP", "0-65535");</v>
      </c>
    </row>
    <row r="27" spans="2:2" x14ac:dyDescent="0.2">
      <c r="B27" t="str">
        <v>INSERT EDGE IF NOT EXISTS connects_to(Connection_Protocol, Connection_Port) VALUES "A00006"-&gt;"A00007"@00:("IP", "0-65535");</v>
      </c>
    </row>
    <row r="28" spans="2:2" x14ac:dyDescent="0.2">
      <c r="B28" t="str">
        <v>INSERT EDGE IF NOT EXISTS connects_to(Connection_Protocol, Connection_Port) VALUES "A00006"-&gt;"A00008"@00:("IP", "0-65535");</v>
      </c>
    </row>
    <row r="29" spans="2:2" x14ac:dyDescent="0.2">
      <c r="B29" t="str">
        <v>INSERT EDGE IF NOT EXISTS connects_to(Connection_Protocol, Connection_Port) VALUES "A00006"-&gt;"A00010"@00:("IP", "0-65535");</v>
      </c>
    </row>
    <row r="30" spans="2:2" x14ac:dyDescent="0.2">
      <c r="B30" t="str">
        <v>INSERT EDGE IF NOT EXISTS connects_to(Connection_Protocol, Connection_Port) VALUES "A00006"-&gt;"A00011"@00:("IP", "0-65535");</v>
      </c>
    </row>
    <row r="31" spans="2:2" x14ac:dyDescent="0.2">
      <c r="B31" t="str">
        <v>INSERT EDGE IF NOT EXISTS connects_to(Connection_Protocol, Connection_Port) VALUES "A00006"-&gt;"A00012"@00:("IP", "0-65535");</v>
      </c>
    </row>
    <row r="32" spans="2:2" x14ac:dyDescent="0.2">
      <c r="B32" t="str">
        <v>INSERT EDGE IF NOT EXISTS connects_to(Connection_Protocol, Connection_Port) VALUES "A00007"-&gt;"A00006"@00:("IP", "0-65535");</v>
      </c>
    </row>
    <row r="33" spans="2:2" x14ac:dyDescent="0.2">
      <c r="B33" t="str">
        <v>INSERT EDGE IF NOT EXISTS connects_to(Connection_Protocol, Connection_Port) VALUES "A00007"-&gt;"A00008"@00:("IP", "0-65535");</v>
      </c>
    </row>
    <row r="34" spans="2:2" x14ac:dyDescent="0.2">
      <c r="B34" t="str">
        <v>INSERT EDGE IF NOT EXISTS connects_to(Connection_Protocol, Connection_Port) VALUES "A00007"-&gt;"A00010"@00:("IP", "0-65535");</v>
      </c>
    </row>
    <row r="35" spans="2:2" x14ac:dyDescent="0.2">
      <c r="B35" t="str">
        <v>INSERT EDGE IF NOT EXISTS connects_to(Connection_Protocol, Connection_Port) VALUES "A00007"-&gt;"A00011"@00:("IP", "0-65535");</v>
      </c>
    </row>
    <row r="36" spans="2:2" x14ac:dyDescent="0.2">
      <c r="B36" t="str">
        <v>INSERT EDGE IF NOT EXISTS connects_to(Connection_Protocol, Connection_Port) VALUES "A00007"-&gt;"A00012"@00:("IP", "0-65535");</v>
      </c>
    </row>
    <row r="37" spans="2:2" x14ac:dyDescent="0.2">
      <c r="B37" t="str">
        <v>INSERT EDGE IF NOT EXISTS connects_to(Connection_Protocol, Connection_Port) VALUES "A00007"-&gt;"A00014"@00:("IP", "0-65535");</v>
      </c>
    </row>
    <row r="38" spans="2:2" x14ac:dyDescent="0.2">
      <c r="B38" t="str">
        <v>INSERT EDGE IF NOT EXISTS connects_to(Connection_Protocol, Connection_Port) VALUES "A00007"-&gt;"A00017"@00:("IP", "0-65535");</v>
      </c>
    </row>
    <row r="39" spans="2:2" x14ac:dyDescent="0.2">
      <c r="B39" t="str">
        <v>INSERT EDGE IF NOT EXISTS connects_to(Connection_Protocol, Connection_Port) VALUES "A00007"-&gt;"A00018"@00:("IP", "0-65535");</v>
      </c>
    </row>
    <row r="40" spans="2:2" x14ac:dyDescent="0.2">
      <c r="B40" t="str">
        <v>INSERT EDGE IF NOT EXISTS connects_to(Connection_Protocol, Connection_Port) VALUES "A00007"-&gt;"A00019"@00:("IP", "0-65535");</v>
      </c>
    </row>
    <row r="41" spans="2:2" x14ac:dyDescent="0.2">
      <c r="B41" t="str">
        <v>INSERT EDGE IF NOT EXISTS connects_to(Connection_Protocol, Connection_Port) VALUES "A00007"-&gt;"A00022"@00:("IP", "0-65535");</v>
      </c>
    </row>
    <row r="42" spans="2:2" x14ac:dyDescent="0.2">
      <c r="B42" t="str">
        <v>INSERT EDGE IF NOT EXISTS connects_to(Connection_Protocol, Connection_Port) VALUES "A00008"-&gt;"A00006"@00:("IP", "0-65535");</v>
      </c>
    </row>
    <row r="43" spans="2:2" x14ac:dyDescent="0.2">
      <c r="B43" t="str">
        <v>INSERT EDGE IF NOT EXISTS connects_to(Connection_Protocol, Connection_Port) VALUES "A00008"-&gt;"A00007"@00:("IP", "0-65535");</v>
      </c>
    </row>
    <row r="44" spans="2:2" x14ac:dyDescent="0.2">
      <c r="B44" t="str">
        <v>INSERT EDGE IF NOT EXISTS connects_to(Connection_Protocol, Connection_Port) VALUES "A00008"-&gt;"A00010"@00:("IP", "0-65535");</v>
      </c>
    </row>
    <row r="45" spans="2:2" x14ac:dyDescent="0.2">
      <c r="B45" t="str">
        <v>INSERT EDGE IF NOT EXISTS connects_to(Connection_Protocol, Connection_Port) VALUES "A00008"-&gt;"A00011"@00:("IP", "0-65535");</v>
      </c>
    </row>
    <row r="46" spans="2:2" x14ac:dyDescent="0.2">
      <c r="B46" t="str">
        <v>INSERT EDGE IF NOT EXISTS connects_to(Connection_Protocol, Connection_Port) VALUES "A00008"-&gt;"A00012"@00:("IP", "0-65535");</v>
      </c>
    </row>
    <row r="47" spans="2:2" x14ac:dyDescent="0.2">
      <c r="B47" t="str">
        <v>INSERT EDGE IF NOT EXISTS connects_to(Connection_Protocol, Connection_Port) VALUES "A00009"-&gt;"A00006"@00:("IP", "0-65535");</v>
      </c>
    </row>
    <row r="48" spans="2:2" x14ac:dyDescent="0.2">
      <c r="B48" t="str">
        <v>INSERT EDGE IF NOT EXISTS connects_to(Connection_Protocol, Connection_Port) VALUES "A00009"-&gt;"A00007"@00:("IP", "0-65535");</v>
      </c>
    </row>
    <row r="49" spans="2:2" x14ac:dyDescent="0.2">
      <c r="B49" t="str">
        <v>INSERT EDGE IF NOT EXISTS connects_to(Connection_Protocol, Connection_Port) VALUES "A00009"-&gt;"A00008"@00:("IP", "0-65535");</v>
      </c>
    </row>
    <row r="50" spans="2:2" x14ac:dyDescent="0.2">
      <c r="B50" t="str">
        <v>INSERT EDGE IF NOT EXISTS connects_to(Connection_Protocol, Connection_Port) VALUES "A00009"-&gt;"A00010"@00:("IP", "0-65535");</v>
      </c>
    </row>
    <row r="51" spans="2:2" x14ac:dyDescent="0.2">
      <c r="B51" t="str">
        <v>INSERT EDGE IF NOT EXISTS connects_to(Connection_Protocol, Connection_Port) VALUES "A00009"-&gt;"A00011"@00:("IP", "0-65535");</v>
      </c>
    </row>
    <row r="52" spans="2:2" x14ac:dyDescent="0.2">
      <c r="B52" t="str">
        <v>INSERT EDGE IF NOT EXISTS connects_to(Connection_Protocol, Connection_Port) VALUES "A00009"-&gt;"A00012"@00:("IP", "0-65535");</v>
      </c>
    </row>
    <row r="53" spans="2:2" x14ac:dyDescent="0.2">
      <c r="B53" t="str">
        <v>INSERT EDGE IF NOT EXISTS connects_to(Connection_Protocol, Connection_Port) VALUES "A00010"-&gt;"A00006"@00:("IP", "0-65535");</v>
      </c>
    </row>
    <row r="54" spans="2:2" x14ac:dyDescent="0.2">
      <c r="B54" t="str">
        <v>INSERT EDGE IF NOT EXISTS connects_to(Connection_Protocol, Connection_Port) VALUES "A00010"-&gt;"A00007"@00:("IP", "0-65535");</v>
      </c>
    </row>
    <row r="55" spans="2:2" x14ac:dyDescent="0.2">
      <c r="B55" t="str">
        <v>INSERT EDGE IF NOT EXISTS connects_to(Connection_Protocol, Connection_Port) VALUES "A00010"-&gt;"A00008"@00:("IP", "0-65535");</v>
      </c>
    </row>
    <row r="56" spans="2:2" x14ac:dyDescent="0.2">
      <c r="B56" t="str">
        <v>INSERT EDGE IF NOT EXISTS connects_to(Connection_Protocol, Connection_Port) VALUES "A00010"-&gt;"A00011"@00:("IP", "0-65535");</v>
      </c>
    </row>
    <row r="57" spans="2:2" x14ac:dyDescent="0.2">
      <c r="B57" t="str">
        <v>INSERT EDGE IF NOT EXISTS connects_to(Connection_Protocol, Connection_Port) VALUES "A00010"-&gt;"A00012"@00:("IP", "0-65535");</v>
      </c>
    </row>
    <row r="58" spans="2:2" x14ac:dyDescent="0.2">
      <c r="B58" t="str">
        <v>INSERT EDGE IF NOT EXISTS connects_to(Connection_Protocol, Connection_Port) VALUES "A00011"-&gt;"A00006"@00:("IP", "0-65535");</v>
      </c>
    </row>
    <row r="59" spans="2:2" x14ac:dyDescent="0.2">
      <c r="B59" t="str">
        <v>INSERT EDGE IF NOT EXISTS connects_to(Connection_Protocol, Connection_Port) VALUES "A00011"-&gt;"A00007"@00:("IP", "0-65535");</v>
      </c>
    </row>
    <row r="60" spans="2:2" x14ac:dyDescent="0.2">
      <c r="B60" t="str">
        <v>INSERT EDGE IF NOT EXISTS connects_to(Connection_Protocol, Connection_Port) VALUES "A00011"-&gt;"A00008"@00:("IP", "0-65535");</v>
      </c>
    </row>
    <row r="61" spans="2:2" x14ac:dyDescent="0.2">
      <c r="B61" t="str">
        <v>INSERT EDGE IF NOT EXISTS connects_to(Connection_Protocol, Connection_Port) VALUES "A00011"-&gt;"A00010"@00:("IP", "0-65535");</v>
      </c>
    </row>
    <row r="62" spans="2:2" x14ac:dyDescent="0.2">
      <c r="B62" t="str">
        <v>INSERT EDGE IF NOT EXISTS connects_to(Connection_Protocol, Connection_Port) VALUES "A00011"-&gt;"A00012"@00:("IP", "0-65535");</v>
      </c>
    </row>
    <row r="63" spans="2:2" x14ac:dyDescent="0.2">
      <c r="B63" t="str">
        <v>INSERT EDGE IF NOT EXISTS connects_to(Connection_Protocol, Connection_Port) VALUES "A00012"-&gt;"A00006"@00:("IP", "0-65535");</v>
      </c>
    </row>
    <row r="64" spans="2:2" x14ac:dyDescent="0.2">
      <c r="B64" t="str">
        <v>INSERT EDGE IF NOT EXISTS connects_to(Connection_Protocol, Connection_Port) VALUES "A00012"-&gt;"A00007"@00:("IP", "0-65535");</v>
      </c>
    </row>
    <row r="65" spans="2:2" x14ac:dyDescent="0.2">
      <c r="B65" t="str">
        <v>INSERT EDGE IF NOT EXISTS connects_to(Connection_Protocol, Connection_Port) VALUES "A00012"-&gt;"A00008"@00:("IP", "0-65535");</v>
      </c>
    </row>
    <row r="66" spans="2:2" x14ac:dyDescent="0.2">
      <c r="B66" t="str">
        <v>INSERT EDGE IF NOT EXISTS connects_to(Connection_Protocol, Connection_Port) VALUES "A00012"-&gt;"A00010"@00:("IP", "0-65535");</v>
      </c>
    </row>
    <row r="67" spans="2:2" x14ac:dyDescent="0.2">
      <c r="B67" t="str">
        <v>INSERT EDGE IF NOT EXISTS connects_to(Connection_Protocol, Connection_Port) VALUES "A00012"-&gt;"A00011"@00:("IP", "0-65535");</v>
      </c>
    </row>
    <row r="68" spans="2:2" x14ac:dyDescent="0.2">
      <c r="B68" t="str">
        <v>INSERT EDGE IF NOT EXISTS connects_to(Connection_Protocol, Connection_Port) VALUES "A00013"-&gt;"A00014"@00:("IP", "0-65535");</v>
      </c>
    </row>
    <row r="69" spans="2:2" x14ac:dyDescent="0.2">
      <c r="B69" t="str">
        <v>INSERT EDGE IF NOT EXISTS connects_to(Connection_Protocol, Connection_Port) VALUES "A00013"-&gt;"A00015"@00:("IP", "0-65535");</v>
      </c>
    </row>
    <row r="70" spans="2:2" x14ac:dyDescent="0.2">
      <c r="B70" t="str">
        <v>INSERT EDGE IF NOT EXISTS connects_to(Connection_Protocol, Connection_Port) VALUES "A00014"-&gt;"A00003"@00:("TCP", "443");</v>
      </c>
    </row>
    <row r="71" spans="2:2" x14ac:dyDescent="0.2">
      <c r="B71" t="str">
        <v>INSERT EDGE IF NOT EXISTS connects_to(Connection_Protocol, Connection_Port) VALUES "A00014"-&gt;"A00004"@00:("TCP", "443");</v>
      </c>
    </row>
    <row r="72" spans="2:2" x14ac:dyDescent="0.2">
      <c r="B72" t="str">
        <v>INSERT EDGE IF NOT EXISTS connects_to(Connection_Protocol, Connection_Port) VALUES "A00014"-&gt;"A00007"@00:("IP", "0-65535");</v>
      </c>
    </row>
    <row r="73" spans="2:2" x14ac:dyDescent="0.2">
      <c r="B73" t="str">
        <v>INSERT EDGE IF NOT EXISTS connects_to(Connection_Protocol, Connection_Port) VALUES "A00014"-&gt;"A00008"@00:("IP", "0-65535");</v>
      </c>
    </row>
    <row r="74" spans="2:2" x14ac:dyDescent="0.2">
      <c r="B74" t="str">
        <v>INSERT EDGE IF NOT EXISTS connects_to(Connection_Protocol, Connection_Port) VALUES "A00014"-&gt;"A00010"@00:("TCP", "443");</v>
      </c>
    </row>
    <row r="75" spans="2:2" x14ac:dyDescent="0.2">
      <c r="B75" t="str">
        <v>INSERT EDGE IF NOT EXISTS connects_to(Connection_Protocol, Connection_Port) VALUES "A00014"-&gt;"A00012"@00:("TCP", "443");</v>
      </c>
    </row>
    <row r="76" spans="2:2" x14ac:dyDescent="0.2">
      <c r="B76" t="str">
        <v>INSERT EDGE IF NOT EXISTS connects_to(Connection_Protocol, Connection_Port) VALUES "A00014"-&gt;"A00013"@00:("IP", "0-65535");</v>
      </c>
    </row>
    <row r="77" spans="2:2" x14ac:dyDescent="0.2">
      <c r="B77" t="str">
        <v>INSERT EDGE IF NOT EXISTS connects_to(Connection_Protocol, Connection_Port) VALUES "A00015"-&gt;"A00005"@00:("IP", "0-65535");</v>
      </c>
    </row>
    <row r="78" spans="2:2" x14ac:dyDescent="0.2">
      <c r="B78" t="str">
        <v>INSERT EDGE IF NOT EXISTS connects_to(Connection_Protocol, Connection_Port) VALUES "A00015"-&gt;"A00013"@00:("IP", "0-65535");</v>
      </c>
    </row>
    <row r="79" spans="2:2" x14ac:dyDescent="0.2">
      <c r="B79" t="str">
        <v>INSERT EDGE IF NOT EXISTS connects_to(Connection_Protocol, Connection_Port) VALUES "A00015"-&gt;"A00014"@00:("IP", "0-65535");</v>
      </c>
    </row>
    <row r="80" spans="2:2" x14ac:dyDescent="0.2">
      <c r="B80" t="str">
        <v>INSERT EDGE IF NOT EXISTS connects_to(Connection_Protocol, Connection_Port) VALUES "A00015"-&gt;"A00016"@00:("IP", "0-65535");</v>
      </c>
    </row>
    <row r="81" spans="2:2" x14ac:dyDescent="0.2">
      <c r="B81" t="str">
        <v>INSERT EDGE IF NOT EXISTS connects_to(Connection_Protocol, Connection_Port) VALUES "A00016"-&gt;"A00015"@00:("IP", "0-65535");</v>
      </c>
    </row>
    <row r="82" spans="2:2" x14ac:dyDescent="0.2">
      <c r="B82" t="str">
        <v>INSERT EDGE IF NOT EXISTS connects_to(Connection_Protocol, Connection_Port) VALUES "A00017"-&gt;"A00003"@00:("TCP", "443");</v>
      </c>
    </row>
    <row r="83" spans="2:2" x14ac:dyDescent="0.2">
      <c r="B83" t="str">
        <v>INSERT EDGE IF NOT EXISTS connects_to(Connection_Protocol, Connection_Port) VALUES "A00017"-&gt;"A00004"@00:("TCP", "443");</v>
      </c>
    </row>
    <row r="84" spans="2:2" x14ac:dyDescent="0.2">
      <c r="B84" t="str">
        <v>INSERT EDGE IF NOT EXISTS connects_to(Connection_Protocol, Connection_Port) VALUES "A00017"-&gt;"A00007"@00:("IP", "0-65535");</v>
      </c>
    </row>
    <row r="85" spans="2:2" x14ac:dyDescent="0.2">
      <c r="B85" t="str">
        <v>INSERT EDGE IF NOT EXISTS connects_to(Connection_Protocol, Connection_Port) VALUES "A00017"-&gt;"A00008"@00:("IP", "0-65535");</v>
      </c>
    </row>
    <row r="86" spans="2:2" x14ac:dyDescent="0.2">
      <c r="B86" t="str">
        <v>INSERT EDGE IF NOT EXISTS connects_to(Connection_Protocol, Connection_Port) VALUES "A00017"-&gt;"A00010"@00:("TCP", "443");</v>
      </c>
    </row>
    <row r="87" spans="2:2" x14ac:dyDescent="0.2">
      <c r="B87" t="str">
        <v>INSERT EDGE IF NOT EXISTS connects_to(Connection_Protocol, Connection_Port) VALUES "A00017"-&gt;"A00012"@00:("TCP", "443");</v>
      </c>
    </row>
    <row r="88" spans="2:2" x14ac:dyDescent="0.2">
      <c r="B88" t="str">
        <v>INSERT EDGE IF NOT EXISTS connects_to(Connection_Protocol, Connection_Port) VALUES "A00018"-&gt;"A00001"@00:("IP", "0-65535");</v>
      </c>
    </row>
    <row r="89" spans="2:2" x14ac:dyDescent="0.2">
      <c r="B89" t="str">
        <v>INSERT EDGE IF NOT EXISTS connects_to(Connection_Protocol, Connection_Port) VALUES "A00018"-&gt;"A00002"@00:("IP", "0-65535");</v>
      </c>
    </row>
    <row r="90" spans="2:2" x14ac:dyDescent="0.2">
      <c r="B90" t="str">
        <v>INSERT EDGE IF NOT EXISTS connects_to(Connection_Protocol, Connection_Port) VALUES "A00018"-&gt;"A00003"@00:("TCP", "443");</v>
      </c>
    </row>
    <row r="91" spans="2:2" x14ac:dyDescent="0.2">
      <c r="B91" t="str">
        <v>INSERT EDGE IF NOT EXISTS connects_to(Connection_Protocol, Connection_Port) VALUES "A00018"-&gt;"A00004"@00:("TCP", "443");</v>
      </c>
    </row>
    <row r="92" spans="2:2" x14ac:dyDescent="0.2">
      <c r="B92" t="str">
        <v>INSERT EDGE IF NOT EXISTS connects_to(Connection_Protocol, Connection_Port) VALUES "A00018"-&gt;"A00005"@00:("IP", "0-65535");</v>
      </c>
    </row>
    <row r="93" spans="2:2" x14ac:dyDescent="0.2">
      <c r="B93" t="str">
        <v>INSERT EDGE IF NOT EXISTS connects_to(Connection_Protocol, Connection_Port) VALUES "A00018"-&gt;"A00006"@00:("IP", "0-65535");</v>
      </c>
    </row>
    <row r="94" spans="2:2" x14ac:dyDescent="0.2">
      <c r="B94" t="str">
        <v>INSERT EDGE IF NOT EXISTS connects_to(Connection_Protocol, Connection_Port) VALUES "A00018"-&gt;"A00007"@00:("IP", "0-65535");</v>
      </c>
    </row>
    <row r="95" spans="2:2" x14ac:dyDescent="0.2">
      <c r="B95" t="str">
        <v>INSERT EDGE IF NOT EXISTS connects_to(Connection_Protocol, Connection_Port) VALUES "A00018"-&gt;"A00008"@00:("IP", "0-65535");</v>
      </c>
    </row>
    <row r="96" spans="2:2" x14ac:dyDescent="0.2">
      <c r="B96" t="str">
        <v>INSERT EDGE IF NOT EXISTS connects_to(Connection_Protocol, Connection_Port) VALUES "A00018"-&gt;"A00010"@00:("TCP", "443");</v>
      </c>
    </row>
    <row r="97" spans="2:2" x14ac:dyDescent="0.2">
      <c r="B97" t="str">
        <v>INSERT EDGE IF NOT EXISTS connects_to(Connection_Protocol, Connection_Port) VALUES "A00018"-&gt;"A00011"@00:("IP", "0-65535");</v>
      </c>
    </row>
    <row r="98" spans="2:2" x14ac:dyDescent="0.2">
      <c r="B98" t="str">
        <v>INSERT EDGE IF NOT EXISTS connects_to(Connection_Protocol, Connection_Port) VALUES "A00018"-&gt;"A00012"@00:("IP", "0-65535");</v>
      </c>
    </row>
    <row r="99" spans="2:2" x14ac:dyDescent="0.2">
      <c r="B99" t="str">
        <v>INSERT EDGE IF NOT EXISTS connects_to(Connection_Protocol, Connection_Port) VALUES "A00018"-&gt;"A00013"@00:("IP", "0-65535");</v>
      </c>
    </row>
    <row r="100" spans="2:2" x14ac:dyDescent="0.2">
      <c r="B100" t="str">
        <v>INSERT EDGE IF NOT EXISTS connects_to(Connection_Protocol, Connection_Port) VALUES "A00018"-&gt;"A00014"@00:("IP", "0-65535");</v>
      </c>
    </row>
    <row r="101" spans="2:2" x14ac:dyDescent="0.2">
      <c r="B101" t="str">
        <v>INSERT EDGE IF NOT EXISTS connects_to(Connection_Protocol, Connection_Port) VALUES "A00018"-&gt;"A00015"@00:("IP", "0-65535");</v>
      </c>
    </row>
    <row r="102" spans="2:2" x14ac:dyDescent="0.2">
      <c r="B102" t="str">
        <v>INSERT EDGE IF NOT EXISTS connects_to(Connection_Protocol, Connection_Port) VALUES "A00018"-&gt;"A00016"@00:("IP", "0-65535");</v>
      </c>
    </row>
    <row r="103" spans="2:2" x14ac:dyDescent="0.2">
      <c r="B103" t="str">
        <v>INSERT EDGE IF NOT EXISTS connects_to(Connection_Protocol, Connection_Port) VALUES "A00018"-&gt;"A00017"@00:("IP", "0-65535");</v>
      </c>
    </row>
    <row r="104" spans="2:2" x14ac:dyDescent="0.2">
      <c r="B104" t="str">
        <v>INSERT EDGE IF NOT EXISTS connects_to(Connection_Protocol, Connection_Port) VALUES "A00018"-&gt;"A00019"@00:("IP", "0-65535");</v>
      </c>
    </row>
    <row r="105" spans="2:2" x14ac:dyDescent="0.2">
      <c r="B105" t="str">
        <v>INSERT EDGE IF NOT EXISTS connects_to(Connection_Protocol, Connection_Port) VALUES "A00018"-&gt;"A00020"@00:("IP", "0-65535");</v>
      </c>
    </row>
    <row r="106" spans="2:2" x14ac:dyDescent="0.2">
      <c r="B106" t="str">
        <v>INSERT EDGE IF NOT EXISTS connects_to(Connection_Protocol, Connection_Port) VALUES "A00018"-&gt;"A00021"@00:("IP", "0-65535");</v>
      </c>
    </row>
    <row r="107" spans="2:2" x14ac:dyDescent="0.2">
      <c r="B107" t="str">
        <v>INSERT EDGE IF NOT EXISTS connects_to(Connection_Protocol, Connection_Port) VALUES "A00018"-&gt;"A00022"@00:("IP", "0-65535");</v>
      </c>
    </row>
    <row r="108" spans="2:2" x14ac:dyDescent="0.2">
      <c r="B108" t="str">
        <v>INSERT EDGE IF NOT EXISTS connects_to(Connection_Protocol, Connection_Port) VALUES "A00019"-&gt;"A00003"@00:("TCP", "443");</v>
      </c>
    </row>
    <row r="109" spans="2:2" x14ac:dyDescent="0.2">
      <c r="B109" t="str">
        <v>INSERT EDGE IF NOT EXISTS connects_to(Connection_Protocol, Connection_Port) VALUES "A00019"-&gt;"A00004"@00:("TCP", "443");</v>
      </c>
    </row>
    <row r="110" spans="2:2" x14ac:dyDescent="0.2">
      <c r="B110" t="str">
        <v>INSERT EDGE IF NOT EXISTS connects_to(Connection_Protocol, Connection_Port) VALUES "A00019"-&gt;"A00007"@00:("IP", "0-65535");</v>
      </c>
    </row>
    <row r="111" spans="2:2" x14ac:dyDescent="0.2">
      <c r="B111" t="str">
        <v>INSERT EDGE IF NOT EXISTS connects_to(Connection_Protocol, Connection_Port) VALUES "A00019"-&gt;"A00008"@00:("IP", "0-65535");</v>
      </c>
    </row>
    <row r="112" spans="2:2" x14ac:dyDescent="0.2">
      <c r="B112" t="str">
        <v>INSERT EDGE IF NOT EXISTS connects_to(Connection_Protocol, Connection_Port) VALUES "A00019"-&gt;"A00009"@00:("TCP", "3389");</v>
      </c>
    </row>
    <row r="113" spans="2:2" x14ac:dyDescent="0.2">
      <c r="B113" t="str">
        <v>INSERT EDGE IF NOT EXISTS connects_to(Connection_Protocol, Connection_Port) VALUES "A00019"-&gt;"A00010"@00:("TCP", "443");</v>
      </c>
    </row>
    <row r="114" spans="2:2" x14ac:dyDescent="0.2">
      <c r="B114" t="str">
        <v>INSERT EDGE IF NOT EXISTS connects_to(Connection_Protocol, Connection_Port) VALUES "A00019"-&gt;"A00012"@00:("TCP", "443");</v>
      </c>
    </row>
    <row r="115" spans="2:2" x14ac:dyDescent="0.2">
      <c r="B115" t="str">
        <v>INSERT EDGE IF NOT EXISTS connects_to(Connection_Protocol, Connection_Port) VALUES "A00020"-&gt;"A00005"@00:("IP", "0-65535");</v>
      </c>
    </row>
    <row r="116" spans="2:2" x14ac:dyDescent="0.2">
      <c r="B116" t="str">
        <v>INSERT EDGE IF NOT EXISTS connects_to(Connection_Protocol, Connection_Port) VALUES "A00020"-&gt;"A00021"@00:("IP", "0-65535");</v>
      </c>
    </row>
    <row r="117" spans="2:2" x14ac:dyDescent="0.2">
      <c r="B117" t="str">
        <v>INSERT EDGE IF NOT EXISTS connects_to(Connection_Protocol, Connection_Port) VALUES "A00020"-&gt;"A00022"@00:("IP", "0-65535");</v>
      </c>
    </row>
    <row r="118" spans="2:2" x14ac:dyDescent="0.2">
      <c r="B118" t="str">
        <v>INSERT EDGE IF NOT EXISTS connects_to(Connection_Protocol, Connection_Port) VALUES "A00020"-&gt;"A00023"@00:("IP", "0-65535");</v>
      </c>
    </row>
    <row r="119" spans="2:2" x14ac:dyDescent="0.2">
      <c r="B119" t="str">
        <v>INSERT EDGE IF NOT EXISTS connects_to(Connection_Protocol, Connection_Port) VALUES "A00021"-&gt;"A00020"@00:("IP", "0-65535");</v>
      </c>
    </row>
    <row r="120" spans="2:2" x14ac:dyDescent="0.2">
      <c r="B120" t="str">
        <v>INSERT EDGE IF NOT EXISTS connects_to(Connection_Protocol, Connection_Port) VALUES "A00021"-&gt;"A00022"@00:("IP", "0-65535");</v>
      </c>
    </row>
    <row r="121" spans="2:2" x14ac:dyDescent="0.2">
      <c r="B121" t="str">
        <v>INSERT EDGE IF NOT EXISTS connects_to(Connection_Protocol, Connection_Port) VALUES "A00021"-&gt;"A00023"@00:("IP", "0-65535");</v>
      </c>
    </row>
    <row r="122" spans="2:2" x14ac:dyDescent="0.2">
      <c r="B122" t="str">
        <v>INSERT EDGE IF NOT EXISTS connects_to(Connection_Protocol, Connection_Port) VALUES "A00022"-&gt;"A00003"@00:("TCP", "443");</v>
      </c>
    </row>
    <row r="123" spans="2:2" x14ac:dyDescent="0.2">
      <c r="B123" t="str">
        <v>INSERT EDGE IF NOT EXISTS connects_to(Connection_Protocol, Connection_Port) VALUES "A00022"-&gt;"A00004"@00:("TCP", "443");</v>
      </c>
    </row>
    <row r="124" spans="2:2" x14ac:dyDescent="0.2">
      <c r="B124" t="str">
        <v>INSERT EDGE IF NOT EXISTS connects_to(Connection_Protocol, Connection_Port) VALUES "A00022"-&gt;"A00007"@00:("IP", "0-65535");</v>
      </c>
    </row>
    <row r="125" spans="2:2" x14ac:dyDescent="0.2">
      <c r="B125" t="str">
        <v>INSERT EDGE IF NOT EXISTS connects_to(Connection_Protocol, Connection_Port) VALUES "A00022"-&gt;"A00008"@00:("IP", "0-65535");</v>
      </c>
    </row>
    <row r="126" spans="2:2" x14ac:dyDescent="0.2">
      <c r="B126" t="str">
        <v>INSERT EDGE IF NOT EXISTS connects_to(Connection_Protocol, Connection_Port) VALUES "A00022"-&gt;"A00010"@00:("TCP", "443");</v>
      </c>
    </row>
    <row r="127" spans="2:2" x14ac:dyDescent="0.2">
      <c r="B127" t="str">
        <v>INSERT EDGE IF NOT EXISTS connects_to(Connection_Protocol, Connection_Port) VALUES "A00022"-&gt;"A00011"@00:("IP", "0-65535");</v>
      </c>
    </row>
    <row r="128" spans="2:2" x14ac:dyDescent="0.2">
      <c r="B128" t="str">
        <v>INSERT EDGE IF NOT EXISTS connects_to(Connection_Protocol, Connection_Port) VALUES "A00022"-&gt;"A00012"@00:("TCP", "443");</v>
      </c>
    </row>
    <row r="129" spans="2:2" x14ac:dyDescent="0.2">
      <c r="B129" t="str">
        <v>INSERT EDGE IF NOT EXISTS connects_to(Connection_Protocol, Connection_Port) VALUES "A00022"-&gt;"A00021"@00:("IP", "0-65535");</v>
      </c>
    </row>
    <row r="130" spans="2:2" x14ac:dyDescent="0.2">
      <c r="B130" t="str">
        <v>INSERT EDGE IF NOT EXISTS connects_to(Connection_Protocol, Connection_Port) VALUES "A00022"-&gt;"A00023"@00:("IP", "0-65535");</v>
      </c>
    </row>
    <row r="131" spans="2:2" x14ac:dyDescent="0.2">
      <c r="B131" t="str">
        <v>INSERT EDGE IF NOT EXISTS connects_to(Connection_Protocol, Connection_Port) VALUES "A00023"-&gt;"A00003"@00:("TCP", "443");</v>
      </c>
    </row>
    <row r="132" spans="2:2" x14ac:dyDescent="0.2">
      <c r="B132" t="str">
        <v>INSERT EDGE IF NOT EXISTS connects_to(Connection_Protocol, Connection_Port) VALUES "A00023"-&gt;"A00004"@00:("TCP", "443");</v>
      </c>
    </row>
    <row r="133" spans="2:2" x14ac:dyDescent="0.2">
      <c r="B133" t="str">
        <v>INSERT EDGE IF NOT EXISTS connects_to(Connection_Protocol, Connection_Port) VALUES "A00023"-&gt;"A00007"@00:("IP", "0-65535");</v>
      </c>
    </row>
    <row r="134" spans="2:2" x14ac:dyDescent="0.2">
      <c r="B134" t="str">
        <v>INSERT EDGE IF NOT EXISTS connects_to(Connection_Protocol, Connection_Port) VALUES "A00023"-&gt;"A00008"@00:("IP", "0-65535");</v>
      </c>
    </row>
    <row r="135" spans="2:2" x14ac:dyDescent="0.2">
      <c r="B135" t="str">
        <v>INSERT EDGE IF NOT EXISTS connects_to(Connection_Protocol, Connection_Port) VALUES "A00023"-&gt;"A00010"@00:("TCP", "443");</v>
      </c>
    </row>
    <row r="136" spans="2:2" x14ac:dyDescent="0.2">
      <c r="B136" t="str">
        <v>INSERT EDGE IF NOT EXISTS connects_to(Connection_Protocol, Connection_Port) VALUES "A00023"-&gt;"A00011"@00:("IP", "0-65535");</v>
      </c>
    </row>
    <row r="137" spans="2:2" x14ac:dyDescent="0.2">
      <c r="B137" t="str">
        <v>INSERT EDGE IF NOT EXISTS connects_to(Connection_Protocol, Connection_Port) VALUES "A00023"-&gt;"A00012"@00:("TCP", "443");</v>
      </c>
    </row>
    <row r="138" spans="2:2" x14ac:dyDescent="0.2">
      <c r="B138" t="str">
        <v>INSERT EDGE IF NOT EXISTS connects_to(Connection_Protocol, Connection_Port) VALUES "A00023"-&gt;"A00021"@00:("IP", "0-65535");</v>
      </c>
    </row>
    <row r="139" spans="2:2" x14ac:dyDescent="0.2">
      <c r="B139" t="str">
        <v>INSERT EDGE IF NOT EXISTS connects_to(Connection_Protocol, Connection_Port) VALUES "A00023"-&gt;"A00022"@00:("IP", "0-65535");</v>
      </c>
    </row>
    <row r="140" spans="2:2" x14ac:dyDescent="0.2">
      <c r="B140" t="str">
        <v>INSERT EDGE IF NOT EXISTS connects_to(Connection_Protocol, Connection_Port) VALUES "A00024"-&gt;"A00002"@00:("TCP", "443");</v>
      </c>
    </row>
    <row r="141" spans="2:2" x14ac:dyDescent="0.2">
      <c r="B141" t="str">
        <v>INSERT EDGE IF NOT EXISTS connects_to(Connection_Protocol, Connection_Port) VALUES "A00024"-&gt;"A00002"@01:("UDP", "1194");</v>
      </c>
    </row>
    <row r="142" spans="2:2" x14ac:dyDescent="0.2">
      <c r="B142" t="str">
        <v>INSERT EDGE IF NOT EXISTS connects_to(Connection_Protocol, Connection_Port) VALUES "A00024"-&gt;"A00003"@00:("TCP", "443");</v>
      </c>
    </row>
    <row r="143" spans="2:2" x14ac:dyDescent="0.2">
      <c r="B143" t="str">
        <v>INSERT EDGE IF NOT EXISTS connects_to(Connection_Protocol, Connection_Port) VALUES "A00024"-&gt;"A00004"@00:("TCP", "443");</v>
      </c>
    </row>
    <row r="144" spans="2:2" x14ac:dyDescent="0.2">
      <c r="B144" t="str">
        <v>INSERT EDGE IF NOT EXISTS connects_to(Connection_Protocol, Connection_Port) VALUES "A00025"-&gt;"A00002"@00:("TCP", "443");</v>
      </c>
    </row>
    <row r="145" spans="2:2" x14ac:dyDescent="0.2">
      <c r="B145" t="str">
        <v>INSERT EDGE IF NOT EXISTS connects_to(Connection_Protocol, Connection_Port) VALUES "A00025"-&gt;"A00002"@01:("UDP", "1194");</v>
      </c>
    </row>
    <row r="146" spans="2:2" x14ac:dyDescent="0.2">
      <c r="B146" t="str">
        <v>INSERT EDGE IF NOT EXISTS connects_to(Connection_Protocol, Connection_Port) VALUES "A00025"-&gt;"A00003"@00:("TCP", "443");</v>
      </c>
    </row>
    <row r="147" spans="2:2" x14ac:dyDescent="0.2">
      <c r="B147" t="str">
        <v>INSERT EDGE IF NOT EXISTS connects_to(Connection_Protocol, Connection_Port) VALUES "A00025"-&gt;"A00004"@00:("TCP", "443");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1ED9-B4B0-E24E-A0E0-E1A9FC0C7159}">
  <dimension ref="B3:CK28"/>
  <sheetViews>
    <sheetView topLeftCell="AL2" workbookViewId="0">
      <selection activeCell="AU16" sqref="AU16"/>
    </sheetView>
  </sheetViews>
  <sheetFormatPr baseColWidth="10" defaultRowHeight="16" x14ac:dyDescent="0.2"/>
  <cols>
    <col min="2" max="2" width="12.83203125" customWidth="1"/>
    <col min="3" max="3" width="14.6640625" customWidth="1"/>
    <col min="4" max="6" width="6.6640625" bestFit="1" customWidth="1"/>
    <col min="7" max="37" width="6.6640625" customWidth="1"/>
    <col min="38" max="46" width="6.6640625" bestFit="1" customWidth="1"/>
    <col min="47" max="47" width="109.1640625" customWidth="1"/>
  </cols>
  <sheetData>
    <row r="3" spans="2:89" x14ac:dyDescent="0.2">
      <c r="B3" t="s">
        <v>86</v>
      </c>
      <c r="C3" t="s">
        <v>261</v>
      </c>
      <c r="D3" s="12" t="s">
        <v>218</v>
      </c>
      <c r="E3" s="12" t="s">
        <v>219</v>
      </c>
      <c r="F3" s="12" t="s">
        <v>220</v>
      </c>
      <c r="G3" s="12" t="s">
        <v>221</v>
      </c>
      <c r="H3" s="12" t="s">
        <v>222</v>
      </c>
      <c r="I3" s="12" t="s">
        <v>223</v>
      </c>
      <c r="J3" s="12" t="s">
        <v>224</v>
      </c>
      <c r="K3" s="12" t="s">
        <v>225</v>
      </c>
      <c r="L3" s="12" t="s">
        <v>226</v>
      </c>
      <c r="M3" s="12" t="s">
        <v>227</v>
      </c>
      <c r="N3" s="12" t="s">
        <v>228</v>
      </c>
      <c r="O3" s="12" t="s">
        <v>229</v>
      </c>
      <c r="P3" s="12" t="s">
        <v>230</v>
      </c>
      <c r="Q3" s="12" t="s">
        <v>231</v>
      </c>
      <c r="R3" s="12" t="s">
        <v>232</v>
      </c>
      <c r="S3" s="12" t="s">
        <v>233</v>
      </c>
      <c r="T3" s="12" t="s">
        <v>234</v>
      </c>
      <c r="U3" s="12" t="s">
        <v>235</v>
      </c>
      <c r="V3" s="12" t="s">
        <v>236</v>
      </c>
      <c r="W3" s="12" t="s">
        <v>237</v>
      </c>
      <c r="X3" s="12" t="s">
        <v>238</v>
      </c>
      <c r="Y3" s="12" t="s">
        <v>239</v>
      </c>
      <c r="Z3" s="12" t="s">
        <v>240</v>
      </c>
      <c r="AA3" s="12" t="s">
        <v>241</v>
      </c>
      <c r="AB3" s="12" t="s">
        <v>242</v>
      </c>
      <c r="AC3" s="12" t="s">
        <v>243</v>
      </c>
      <c r="AD3" s="12" t="s">
        <v>244</v>
      </c>
      <c r="AE3" s="12" t="s">
        <v>245</v>
      </c>
      <c r="AF3" s="12" t="s">
        <v>246</v>
      </c>
      <c r="AG3" s="12" t="s">
        <v>247</v>
      </c>
      <c r="AH3" s="12" t="s">
        <v>248</v>
      </c>
      <c r="AI3" s="12" t="s">
        <v>249</v>
      </c>
      <c r="AJ3" s="12" t="s">
        <v>250</v>
      </c>
      <c r="AK3" s="12" t="s">
        <v>251</v>
      </c>
      <c r="AL3" s="12" t="s">
        <v>252</v>
      </c>
      <c r="AM3" s="12" t="s">
        <v>253</v>
      </c>
      <c r="AN3" s="12" t="s">
        <v>254</v>
      </c>
      <c r="AO3" s="12" t="s">
        <v>255</v>
      </c>
      <c r="AP3" s="12" t="s">
        <v>256</v>
      </c>
      <c r="AQ3" s="12" t="s">
        <v>257</v>
      </c>
      <c r="AR3" s="12" t="s">
        <v>258</v>
      </c>
      <c r="AS3" s="12" t="s">
        <v>259</v>
      </c>
      <c r="AT3" s="12" t="s">
        <v>260</v>
      </c>
      <c r="AU3" t="s">
        <v>264</v>
      </c>
      <c r="AV3" t="s">
        <v>265</v>
      </c>
      <c r="AW3" t="s">
        <v>266</v>
      </c>
      <c r="AX3" t="s">
        <v>267</v>
      </c>
      <c r="AY3" t="s">
        <v>268</v>
      </c>
      <c r="AZ3" t="s">
        <v>269</v>
      </c>
      <c r="BA3" t="s">
        <v>270</v>
      </c>
      <c r="BB3" t="s">
        <v>271</v>
      </c>
      <c r="BC3" t="s">
        <v>272</v>
      </c>
      <c r="BD3" t="s">
        <v>273</v>
      </c>
      <c r="BE3" t="s">
        <v>274</v>
      </c>
      <c r="BF3" t="s">
        <v>275</v>
      </c>
      <c r="BG3" t="s">
        <v>276</v>
      </c>
      <c r="BH3" t="s">
        <v>277</v>
      </c>
      <c r="BI3" t="s">
        <v>278</v>
      </c>
      <c r="BJ3" t="s">
        <v>279</v>
      </c>
      <c r="BK3" t="s">
        <v>280</v>
      </c>
      <c r="BL3" t="s">
        <v>281</v>
      </c>
      <c r="BM3" t="s">
        <v>282</v>
      </c>
      <c r="BN3" t="s">
        <v>283</v>
      </c>
      <c r="BO3" t="s">
        <v>284</v>
      </c>
      <c r="BP3" t="s">
        <v>285</v>
      </c>
      <c r="BQ3" t="s">
        <v>286</v>
      </c>
      <c r="BR3" t="s">
        <v>287</v>
      </c>
      <c r="BS3" t="s">
        <v>288</v>
      </c>
      <c r="BT3" t="s">
        <v>289</v>
      </c>
      <c r="BU3" t="s">
        <v>290</v>
      </c>
      <c r="BV3" t="s">
        <v>291</v>
      </c>
      <c r="BW3" t="s">
        <v>292</v>
      </c>
      <c r="BX3" t="s">
        <v>293</v>
      </c>
      <c r="BY3" t="s">
        <v>294</v>
      </c>
      <c r="BZ3" t="s">
        <v>295</v>
      </c>
      <c r="CA3" t="s">
        <v>296</v>
      </c>
      <c r="CB3" t="s">
        <v>297</v>
      </c>
      <c r="CC3" t="s">
        <v>298</v>
      </c>
      <c r="CD3" t="s">
        <v>299</v>
      </c>
      <c r="CE3" t="s">
        <v>300</v>
      </c>
      <c r="CF3" t="s">
        <v>301</v>
      </c>
      <c r="CG3" t="s">
        <v>302</v>
      </c>
      <c r="CH3" t="s">
        <v>303</v>
      </c>
      <c r="CI3" t="s">
        <v>304</v>
      </c>
      <c r="CJ3" t="s">
        <v>305</v>
      </c>
      <c r="CK3" t="s">
        <v>306</v>
      </c>
    </row>
    <row r="4" spans="2:89" x14ac:dyDescent="0.2">
      <c r="B4" s="13" t="s">
        <v>61</v>
      </c>
      <c r="C4" s="13" t="s">
        <v>7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100</v>
      </c>
      <c r="W4" s="14">
        <v>75</v>
      </c>
      <c r="X4" s="14">
        <v>0</v>
      </c>
      <c r="Y4" s="14">
        <v>0</v>
      </c>
      <c r="Z4" s="14">
        <v>100</v>
      </c>
      <c r="AA4" s="14">
        <v>0</v>
      </c>
      <c r="AB4" s="14">
        <v>0</v>
      </c>
      <c r="AC4" s="14">
        <v>0</v>
      </c>
      <c r="AD4" s="14">
        <v>100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100</v>
      </c>
      <c r="AN4" s="14">
        <v>0</v>
      </c>
      <c r="AO4" s="14">
        <v>0</v>
      </c>
      <c r="AP4" s="14">
        <v>100</v>
      </c>
      <c r="AQ4" s="14">
        <v>0</v>
      </c>
      <c r="AR4" s="14">
        <v>0</v>
      </c>
      <c r="AS4" s="14">
        <v>0</v>
      </c>
      <c r="AT4" s="14">
        <v>0</v>
      </c>
      <c r="AU4" s="15" t="str" cm="1">
        <f t="array" ref="AU4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4" s="14" t="str" cm="1">
        <f t="array" ref="AV4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4" s="14" t="str" cm="1">
        <f t="array" ref="AW4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4" s="14" t="str" cm="1">
        <f t="array" ref="AX4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4" s="14" t="str" cm="1">
        <f t="array" ref="AY4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4" s="14" t="str" cm="1">
        <f t="array" ref="AZ4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4" s="14" t="str" cm="1">
        <f t="array" ref="BA4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4" s="14" t="str" cm="1">
        <f t="array" ref="BB4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4" s="14" t="str" cm="1">
        <f t="array" ref="BC4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4" s="14" t="str" cm="1">
        <f t="array" ref="BD4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4" s="14" t="str" cm="1">
        <f t="array" ref="BE4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4" s="14" t="str" cm="1">
        <f t="array" ref="BF4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4" s="14" t="str" cm="1">
        <f t="array" ref="BG4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4" s="14" t="str" cm="1">
        <f t="array" ref="BH4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4" s="14" t="str" cm="1">
        <f t="array" ref="BI4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4" s="14" t="str" cm="1">
        <f t="array" ref="BJ4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4" s="14" t="str" cm="1">
        <f t="array" ref="BK4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4" s="14" t="str" cm="1">
        <f t="array" ref="BL4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4" s="14" t="str" cm="1">
        <f t="array" ref="BM4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"M1037"-&gt;"A00001":("1.0", 100, TRUE);</v>
      </c>
      <c r="BN4" s="14" t="str" cm="1">
        <f t="array" ref="BN4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"M1035"-&gt;"A00001":("1.0", 75, TRUE);</v>
      </c>
      <c r="BO4" s="14" t="str" cm="1">
        <f t="array" ref="BO4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4" s="14" t="str" cm="1">
        <f t="array" ref="BP4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4" s="14" t="str" cm="1">
        <f t="array" ref="BQ4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"M1032"-&gt;"A00001":("1.0", 100, TRUE);</v>
      </c>
      <c r="BR4" s="14" t="str" cm="1">
        <f t="array" ref="BR4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4" s="14" t="str" cm="1">
        <f t="array" ref="BS4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4" s="14" t="str" cm="1">
        <f t="array" ref="BT4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4" s="14" t="str" cm="1">
        <f t="array" ref="BU4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"M1027"-&gt;"A00001":("1.0", 100, TRUE);</v>
      </c>
      <c r="BV4" s="14" t="str" cm="1">
        <f t="array" ref="BV4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4" s="14" t="str" cm="1">
        <f t="array" ref="BW4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4" s="14" t="str" cm="1">
        <f t="array" ref="BX4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4" s="14" t="str" cm="1">
        <f t="array" ref="BY4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4" s="14" t="str" cm="1">
        <f t="array" ref="BZ4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4" s="14" t="str" cm="1">
        <f t="array" ref="CA4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4" s="14" t="str" cm="1">
        <f t="array" ref="CB4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4" s="14" t="str" cm="1">
        <f t="array" ref="CC4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4" s="14" t="str" cm="1">
        <f t="array" ref="CD4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"M1020"-&gt;"A00001":("1.0", 100, TRUE);</v>
      </c>
      <c r="CE4" s="14" t="str" cm="1">
        <f t="array" ref="CE4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4" s="14" t="str" cm="1">
        <f t="array" ref="CF4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4" s="14" t="str" cm="1">
        <f t="array" ref="CG4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"M1051"-&gt;"A00001":("1.0", 100, TRUE);</v>
      </c>
      <c r="CH4" s="14" t="str" cm="1">
        <f t="array" ref="CH4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4" s="14" t="str" cm="1">
        <f t="array" ref="CI4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4" s="14" t="str" cm="1">
        <f t="array" ref="CJ4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4" s="14" t="str" cm="1">
        <f t="array" ref="CK4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5" spans="2:89" x14ac:dyDescent="0.2">
      <c r="B5" s="13" t="s">
        <v>62</v>
      </c>
      <c r="C5" s="13" t="s">
        <v>9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100</v>
      </c>
      <c r="W5" s="14">
        <v>75</v>
      </c>
      <c r="X5" s="14">
        <v>0</v>
      </c>
      <c r="Y5" s="14">
        <v>0</v>
      </c>
      <c r="Z5" s="14">
        <v>100</v>
      </c>
      <c r="AA5" s="14">
        <v>0</v>
      </c>
      <c r="AB5" s="14">
        <v>0</v>
      </c>
      <c r="AC5" s="14">
        <v>0</v>
      </c>
      <c r="AD5" s="14">
        <v>100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100</v>
      </c>
      <c r="AN5" s="14">
        <v>0</v>
      </c>
      <c r="AO5" s="14">
        <v>0</v>
      </c>
      <c r="AP5" s="14">
        <v>100</v>
      </c>
      <c r="AQ5" s="14">
        <v>0</v>
      </c>
      <c r="AR5" s="14">
        <v>0</v>
      </c>
      <c r="AS5" s="14">
        <v>0</v>
      </c>
      <c r="AT5" s="14">
        <v>0</v>
      </c>
      <c r="AU5" s="15" t="str" cm="1">
        <f t="array" ref="AU5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5" s="14" t="str" cm="1">
        <f t="array" ref="AV5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5" s="14" t="str" cm="1">
        <f t="array" ref="AW5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5" s="14" t="str" cm="1">
        <f t="array" ref="AX5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5" s="14" t="str" cm="1">
        <f t="array" ref="AY5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5" s="14" t="str" cm="1">
        <f t="array" ref="AZ5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5" s="14" t="str" cm="1">
        <f t="array" ref="BA5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5" s="14" t="str" cm="1">
        <f t="array" ref="BB5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5" s="14" t="str" cm="1">
        <f t="array" ref="BC5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5" s="14" t="str" cm="1">
        <f t="array" ref="BD5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5" s="14" t="str" cm="1">
        <f t="array" ref="BE5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5" s="14" t="str" cm="1">
        <f t="array" ref="BF5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5" s="14" t="str" cm="1">
        <f t="array" ref="BG5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5" s="14" t="str" cm="1">
        <f t="array" ref="BH5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5" s="14" t="str" cm="1">
        <f t="array" ref="BI5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5" s="14" t="str" cm="1">
        <f t="array" ref="BJ5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5" s="14" t="str" cm="1">
        <f t="array" ref="BK5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5" s="14" t="str" cm="1">
        <f t="array" ref="BL5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5" s="14" t="str" cm="1">
        <f t="array" ref="BM5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"M1037"-&gt;"A00002":("1.0", 100, TRUE);</v>
      </c>
      <c r="BN5" s="14" t="str" cm="1">
        <f t="array" ref="BN5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"M1035"-&gt;"A00002":("1.0", 75, TRUE);</v>
      </c>
      <c r="BO5" s="14" t="str" cm="1">
        <f t="array" ref="BO5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5" s="14" t="str" cm="1">
        <f t="array" ref="BP5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5" s="14" t="str" cm="1">
        <f t="array" ref="BQ5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"M1032"-&gt;"A00002":("1.0", 100, TRUE);</v>
      </c>
      <c r="BR5" s="14" t="str" cm="1">
        <f t="array" ref="BR5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5" s="14" t="str" cm="1">
        <f t="array" ref="BS5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5" s="14" t="str" cm="1">
        <f t="array" ref="BT5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5" s="14" t="str" cm="1">
        <f t="array" ref="BU5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"M1027"-&gt;"A00002":("1.0", 100, TRUE);</v>
      </c>
      <c r="BV5" s="14" t="str" cm="1">
        <f t="array" ref="BV5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5" s="14" t="str" cm="1">
        <f t="array" ref="BW5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5" s="14" t="str" cm="1">
        <f t="array" ref="BX5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5" s="14" t="str" cm="1">
        <f t="array" ref="BY5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5" s="14" t="str" cm="1">
        <f t="array" ref="BZ5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5" s="14" t="str" cm="1">
        <f t="array" ref="CA5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5" s="14" t="str" cm="1">
        <f t="array" ref="CB5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5" s="14" t="str" cm="1">
        <f t="array" ref="CC5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5" s="14" t="str" cm="1">
        <f t="array" ref="CD5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"M1020"-&gt;"A00002":("1.0", 100, TRUE);</v>
      </c>
      <c r="CE5" s="14" t="str" cm="1">
        <f t="array" ref="CE5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5" s="14" t="str" cm="1">
        <f t="array" ref="CF5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5" s="14" t="str" cm="1">
        <f t="array" ref="CG5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"M1051"-&gt;"A00002":("1.0", 100, TRUE);</v>
      </c>
      <c r="CH5" s="14" t="str" cm="1">
        <f t="array" ref="CH5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5" s="14" t="str" cm="1">
        <f t="array" ref="CI5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5" s="14" t="str" cm="1">
        <f t="array" ref="CJ5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5" s="14" t="str" cm="1">
        <f t="array" ref="CK5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6" spans="2:89" x14ac:dyDescent="0.2">
      <c r="B6" s="13" t="s">
        <v>63</v>
      </c>
      <c r="C6" s="13" t="s">
        <v>11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100</v>
      </c>
      <c r="W6" s="14">
        <v>75</v>
      </c>
      <c r="X6" s="14">
        <v>0</v>
      </c>
      <c r="Y6" s="14">
        <v>0</v>
      </c>
      <c r="Z6" s="14">
        <v>100</v>
      </c>
      <c r="AA6" s="14">
        <v>0</v>
      </c>
      <c r="AB6" s="14">
        <v>0</v>
      </c>
      <c r="AC6" s="14">
        <v>0</v>
      </c>
      <c r="AD6" s="14">
        <v>100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100</v>
      </c>
      <c r="AN6" s="14">
        <v>0</v>
      </c>
      <c r="AO6" s="14">
        <v>0</v>
      </c>
      <c r="AP6" s="14">
        <v>100</v>
      </c>
      <c r="AQ6" s="14">
        <v>0</v>
      </c>
      <c r="AR6" s="14">
        <v>0</v>
      </c>
      <c r="AS6" s="14">
        <v>0</v>
      </c>
      <c r="AT6" s="14">
        <v>0</v>
      </c>
      <c r="AU6" s="15" t="str" cm="1">
        <f t="array" ref="AU6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6" s="14" t="str" cm="1">
        <f t="array" ref="AV6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6" s="14" t="str" cm="1">
        <f t="array" ref="AW6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6" s="14" t="str" cm="1">
        <f t="array" ref="AX6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6" s="14" t="str" cm="1">
        <f t="array" ref="AY6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6" s="14" t="str" cm="1">
        <f t="array" ref="AZ6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6" s="14" t="str" cm="1">
        <f t="array" ref="BA6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6" s="14" t="str" cm="1">
        <f t="array" ref="BB6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6" s="14" t="str" cm="1">
        <f t="array" ref="BC6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6" s="14" t="str" cm="1">
        <f t="array" ref="BD6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6" s="14" t="str" cm="1">
        <f t="array" ref="BE6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6" s="14" t="str" cm="1">
        <f t="array" ref="BF6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6" s="14" t="str" cm="1">
        <f t="array" ref="BG6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6" s="14" t="str" cm="1">
        <f t="array" ref="BH6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6" s="14" t="str" cm="1">
        <f t="array" ref="BI6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6" s="14" t="str" cm="1">
        <f t="array" ref="BJ6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6" s="14" t="str" cm="1">
        <f t="array" ref="BK6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6" s="14" t="str" cm="1">
        <f t="array" ref="BL6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6" s="14" t="str" cm="1">
        <f t="array" ref="BM6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"M1037"-&gt;"A00003":("1.0", 100, TRUE);</v>
      </c>
      <c r="BN6" s="14" t="str" cm="1">
        <f t="array" ref="BN6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"M1035"-&gt;"A00003":("1.0", 75, TRUE);</v>
      </c>
      <c r="BO6" s="14" t="str" cm="1">
        <f t="array" ref="BO6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6" s="14" t="str" cm="1">
        <f t="array" ref="BP6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6" s="14" t="str" cm="1">
        <f t="array" ref="BQ6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"M1032"-&gt;"A00003":("1.0", 100, TRUE);</v>
      </c>
      <c r="BR6" s="14" t="str" cm="1">
        <f t="array" ref="BR6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6" s="14" t="str" cm="1">
        <f t="array" ref="BS6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6" s="14" t="str" cm="1">
        <f t="array" ref="BT6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6" s="14" t="str" cm="1">
        <f t="array" ref="BU6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"M1027"-&gt;"A00003":("1.0", 100, TRUE);</v>
      </c>
      <c r="BV6" s="14" t="str" cm="1">
        <f t="array" ref="BV6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6" s="14" t="str" cm="1">
        <f t="array" ref="BW6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6" s="14" t="str" cm="1">
        <f t="array" ref="BX6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6" s="14" t="str" cm="1">
        <f t="array" ref="BY6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6" s="14" t="str" cm="1">
        <f t="array" ref="BZ6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6" s="14" t="str" cm="1">
        <f t="array" ref="CA6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6" s="14" t="str" cm="1">
        <f t="array" ref="CB6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6" s="14" t="str" cm="1">
        <f t="array" ref="CC6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6" s="14" t="str" cm="1">
        <f t="array" ref="CD6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"M1020"-&gt;"A00003":("1.0", 100, TRUE);</v>
      </c>
      <c r="CE6" s="14" t="str" cm="1">
        <f t="array" ref="CE6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6" s="14" t="str" cm="1">
        <f t="array" ref="CF6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6" s="14" t="str" cm="1">
        <f t="array" ref="CG6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"M1051"-&gt;"A00003":("1.0", 100, TRUE);</v>
      </c>
      <c r="CH6" s="14" t="str" cm="1">
        <f t="array" ref="CH6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6" s="14" t="str" cm="1">
        <f t="array" ref="CI6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6" s="14" t="str" cm="1">
        <f t="array" ref="CJ6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6" s="14" t="str" cm="1">
        <f t="array" ref="CK6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7" spans="2:89" x14ac:dyDescent="0.2">
      <c r="B7" s="13" t="s">
        <v>64</v>
      </c>
      <c r="C7" s="13" t="s">
        <v>12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100</v>
      </c>
      <c r="W7" s="14">
        <v>75</v>
      </c>
      <c r="X7" s="14">
        <v>0</v>
      </c>
      <c r="Y7" s="14">
        <v>0</v>
      </c>
      <c r="Z7" s="14">
        <v>100</v>
      </c>
      <c r="AA7" s="14">
        <v>0</v>
      </c>
      <c r="AB7" s="14">
        <v>0</v>
      </c>
      <c r="AC7" s="14">
        <v>0</v>
      </c>
      <c r="AD7" s="14">
        <v>100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100</v>
      </c>
      <c r="AN7" s="14">
        <v>0</v>
      </c>
      <c r="AO7" s="14">
        <v>0</v>
      </c>
      <c r="AP7" s="14">
        <v>100</v>
      </c>
      <c r="AQ7" s="14">
        <v>0</v>
      </c>
      <c r="AR7" s="14">
        <v>0</v>
      </c>
      <c r="AS7" s="14">
        <v>0</v>
      </c>
      <c r="AT7" s="14">
        <v>0</v>
      </c>
      <c r="AU7" s="15" t="str" cm="1">
        <f t="array" ref="AU7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7" s="14" t="str" cm="1">
        <f t="array" ref="AV7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7" s="14" t="str" cm="1">
        <f t="array" ref="AW7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7" s="14" t="str" cm="1">
        <f t="array" ref="AX7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7" s="14" t="str" cm="1">
        <f t="array" ref="AY7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7" s="14" t="str" cm="1">
        <f t="array" ref="AZ7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7" s="14" t="str" cm="1">
        <f t="array" ref="BA7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7" s="14" t="str" cm="1">
        <f t="array" ref="BB7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7" s="14" t="str" cm="1">
        <f t="array" ref="BC7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7" s="14" t="str" cm="1">
        <f t="array" ref="BD7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7" s="14" t="str" cm="1">
        <f t="array" ref="BE7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7" s="14" t="str" cm="1">
        <f t="array" ref="BF7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7" s="14" t="str" cm="1">
        <f t="array" ref="BG7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7" s="14" t="str" cm="1">
        <f t="array" ref="BH7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7" s="14" t="str" cm="1">
        <f t="array" ref="BI7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7" s="14" t="str" cm="1">
        <f t="array" ref="BJ7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7" s="14" t="str" cm="1">
        <f t="array" ref="BK7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7" s="14" t="str" cm="1">
        <f t="array" ref="BL7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7" s="14" t="str" cm="1">
        <f t="array" ref="BM7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"M1037"-&gt;"A00004":("1.0", 100, TRUE);</v>
      </c>
      <c r="BN7" s="14" t="str" cm="1">
        <f t="array" ref="BN7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"M1035"-&gt;"A00004":("1.0", 75, TRUE);</v>
      </c>
      <c r="BO7" s="14" t="str" cm="1">
        <f t="array" ref="BO7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7" s="14" t="str" cm="1">
        <f t="array" ref="BP7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7" s="14" t="str" cm="1">
        <f t="array" ref="BQ7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"M1032"-&gt;"A00004":("1.0", 100, TRUE);</v>
      </c>
      <c r="BR7" s="14" t="str" cm="1">
        <f t="array" ref="BR7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7" s="14" t="str" cm="1">
        <f t="array" ref="BS7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7" s="14" t="str" cm="1">
        <f t="array" ref="BT7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7" s="14" t="str" cm="1">
        <f t="array" ref="BU7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"M1027"-&gt;"A00004":("1.0", 100, TRUE);</v>
      </c>
      <c r="BV7" s="14" t="str" cm="1">
        <f t="array" ref="BV7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7" s="14" t="str" cm="1">
        <f t="array" ref="BW7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7" s="14" t="str" cm="1">
        <f t="array" ref="BX7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7" s="14" t="str" cm="1">
        <f t="array" ref="BY7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7" s="14" t="str" cm="1">
        <f t="array" ref="BZ7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7" s="14" t="str" cm="1">
        <f t="array" ref="CA7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7" s="14" t="str" cm="1">
        <f t="array" ref="CB7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7" s="14" t="str" cm="1">
        <f t="array" ref="CC7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7" s="14" t="str" cm="1">
        <f t="array" ref="CD7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"M1020"-&gt;"A00004":("1.0", 100, TRUE);</v>
      </c>
      <c r="CE7" s="14" t="str" cm="1">
        <f t="array" ref="CE7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7" s="14" t="str" cm="1">
        <f t="array" ref="CF7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7" s="14" t="str" cm="1">
        <f t="array" ref="CG7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"M1051"-&gt;"A00004":("1.0", 100, TRUE);</v>
      </c>
      <c r="CH7" s="14" t="str" cm="1">
        <f t="array" ref="CH7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7" s="14" t="str" cm="1">
        <f t="array" ref="CI7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7" s="14" t="str" cm="1">
        <f t="array" ref="CJ7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7" s="14" t="str" cm="1">
        <f t="array" ref="CK7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8" spans="2:89" x14ac:dyDescent="0.2">
      <c r="B8" s="13" t="s">
        <v>65</v>
      </c>
      <c r="C8" s="13" t="s">
        <v>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100</v>
      </c>
      <c r="W8" s="14">
        <v>75</v>
      </c>
      <c r="X8" s="14">
        <v>0</v>
      </c>
      <c r="Y8" s="14">
        <v>0</v>
      </c>
      <c r="Z8" s="14">
        <v>100</v>
      </c>
      <c r="AA8" s="14">
        <v>0</v>
      </c>
      <c r="AB8" s="14">
        <v>0</v>
      </c>
      <c r="AC8" s="14">
        <v>0</v>
      </c>
      <c r="AD8" s="14">
        <v>100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100</v>
      </c>
      <c r="AN8" s="14">
        <v>0</v>
      </c>
      <c r="AO8" s="14">
        <v>0</v>
      </c>
      <c r="AP8" s="14">
        <v>100</v>
      </c>
      <c r="AQ8" s="14">
        <v>0</v>
      </c>
      <c r="AR8" s="14">
        <v>0</v>
      </c>
      <c r="AS8" s="14">
        <v>0</v>
      </c>
      <c r="AT8" s="14">
        <v>0</v>
      </c>
      <c r="AU8" s="15" t="str" cm="1">
        <f t="array" ref="AU8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8" s="14" t="str" cm="1">
        <f t="array" ref="AV8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8" s="14" t="str" cm="1">
        <f t="array" ref="AW8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8" s="14" t="str" cm="1">
        <f t="array" ref="AX8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8" s="14" t="str" cm="1">
        <f t="array" ref="AY8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8" s="14" t="str" cm="1">
        <f t="array" ref="AZ8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8" s="14" t="str" cm="1">
        <f t="array" ref="BA8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8" s="14" t="str" cm="1">
        <f t="array" ref="BB8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8" s="14" t="str" cm="1">
        <f t="array" ref="BC8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8" s="14" t="str" cm="1">
        <f t="array" ref="BD8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8" s="14" t="str" cm="1">
        <f t="array" ref="BE8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8" s="14" t="str" cm="1">
        <f t="array" ref="BF8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8" s="14" t="str" cm="1">
        <f t="array" ref="BG8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8" s="14" t="str" cm="1">
        <f t="array" ref="BH8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8" s="14" t="str" cm="1">
        <f t="array" ref="BI8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8" s="14" t="str" cm="1">
        <f t="array" ref="BJ8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8" s="14" t="str" cm="1">
        <f t="array" ref="BK8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8" s="14" t="str" cm="1">
        <f t="array" ref="BL8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8" s="14" t="str" cm="1">
        <f t="array" ref="BM8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"M1037"-&gt;"A00005":("1.0", 100, TRUE);</v>
      </c>
      <c r="BN8" s="14" t="str" cm="1">
        <f t="array" ref="BN8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"M1035"-&gt;"A00005":("1.0", 75, TRUE);</v>
      </c>
      <c r="BO8" s="14" t="str" cm="1">
        <f t="array" ref="BO8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8" s="14" t="str" cm="1">
        <f t="array" ref="BP8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8" s="14" t="str" cm="1">
        <f t="array" ref="BQ8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"M1032"-&gt;"A00005":("1.0", 100, TRUE);</v>
      </c>
      <c r="BR8" s="14" t="str" cm="1">
        <f t="array" ref="BR8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8" s="14" t="str" cm="1">
        <f t="array" ref="BS8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8" s="14" t="str" cm="1">
        <f t="array" ref="BT8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8" s="14" t="str" cm="1">
        <f t="array" ref="BU8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"M1027"-&gt;"A00005":("1.0", 100, TRUE);</v>
      </c>
      <c r="BV8" s="14" t="str" cm="1">
        <f t="array" ref="BV8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8" s="14" t="str" cm="1">
        <f t="array" ref="BW8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8" s="14" t="str" cm="1">
        <f t="array" ref="BX8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8" s="14" t="str" cm="1">
        <f t="array" ref="BY8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8" s="14" t="str" cm="1">
        <f t="array" ref="BZ8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8" s="14" t="str" cm="1">
        <f t="array" ref="CA8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8" s="14" t="str" cm="1">
        <f t="array" ref="CB8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8" s="14" t="str" cm="1">
        <f t="array" ref="CC8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8" s="14" t="str" cm="1">
        <f t="array" ref="CD8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"M1020"-&gt;"A00005":("1.0", 100, TRUE);</v>
      </c>
      <c r="CE8" s="14" t="str" cm="1">
        <f t="array" ref="CE8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8" s="14" t="str" cm="1">
        <f t="array" ref="CF8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8" s="14" t="str" cm="1">
        <f t="array" ref="CG8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"M1051"-&gt;"A00005":("1.0", 100, TRUE);</v>
      </c>
      <c r="CH8" s="14" t="str" cm="1">
        <f t="array" ref="CH8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8" s="14" t="str" cm="1">
        <f t="array" ref="CI8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8" s="14" t="str" cm="1">
        <f t="array" ref="CJ8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8" s="14" t="str" cm="1">
        <f t="array" ref="CK8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9" spans="2:89" x14ac:dyDescent="0.2">
      <c r="B9" s="13" t="s">
        <v>66</v>
      </c>
      <c r="C9" s="13" t="s">
        <v>14</v>
      </c>
      <c r="D9" s="14">
        <v>100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100</v>
      </c>
      <c r="W9" s="14">
        <v>50</v>
      </c>
      <c r="X9" s="14">
        <v>0</v>
      </c>
      <c r="Y9" s="14">
        <v>0</v>
      </c>
      <c r="Z9" s="14">
        <v>100</v>
      </c>
      <c r="AA9" s="14">
        <v>0</v>
      </c>
      <c r="AB9" s="14">
        <v>0</v>
      </c>
      <c r="AC9" s="14">
        <v>0</v>
      </c>
      <c r="AD9" s="14">
        <v>100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100</v>
      </c>
      <c r="AN9" s="14">
        <v>0</v>
      </c>
      <c r="AO9" s="14">
        <v>0</v>
      </c>
      <c r="AP9" s="14">
        <v>100</v>
      </c>
      <c r="AQ9" s="14">
        <v>0</v>
      </c>
      <c r="AR9" s="14">
        <v>0</v>
      </c>
      <c r="AS9" s="14">
        <v>0</v>
      </c>
      <c r="AT9" s="14">
        <v>0</v>
      </c>
      <c r="AU9" s="15" t="str" cm="1">
        <f t="array" ref="AU9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>INSERT EDGE IF NOT EXISTS applied_to(Version, Maturity, Active) VALUES "M1036"-&gt;"A00006":("1.0", 100, TRUE);</v>
      </c>
      <c r="AV9" s="14" t="str" cm="1">
        <f t="array" ref="AV9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9" s="14" t="str" cm="1">
        <f t="array" ref="AW9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9" s="14" t="str" cm="1">
        <f t="array" ref="AX9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9" s="14" t="str" cm="1">
        <f t="array" ref="AY9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9" s="14" t="str" cm="1">
        <f t="array" ref="AZ9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9" s="14" t="str" cm="1">
        <f t="array" ref="BA9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9" s="14" t="str" cm="1">
        <f t="array" ref="BB9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9" s="14" t="str" cm="1">
        <f t="array" ref="BC9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9" s="14" t="str" cm="1">
        <f t="array" ref="BD9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9" s="14" t="str" cm="1">
        <f t="array" ref="BE9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9" s="14" t="str" cm="1">
        <f t="array" ref="BF9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9" s="14" t="str" cm="1">
        <f t="array" ref="BG9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9" s="14" t="str" cm="1">
        <f t="array" ref="BH9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9" s="14" t="str" cm="1">
        <f t="array" ref="BI9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9" s="14" t="str" cm="1">
        <f t="array" ref="BJ9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9" s="14" t="str" cm="1">
        <f t="array" ref="BK9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9" s="14" t="str" cm="1">
        <f t="array" ref="BL9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9" s="14" t="str" cm="1">
        <f t="array" ref="BM9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"M1037"-&gt;"A00006":("1.0", 100, TRUE);</v>
      </c>
      <c r="BN9" s="14" t="str" cm="1">
        <f t="array" ref="BN9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"M1035"-&gt;"A00006":("1.0", 50, TRUE);</v>
      </c>
      <c r="BO9" s="14" t="str" cm="1">
        <f t="array" ref="BO9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9" s="14" t="str" cm="1">
        <f t="array" ref="BP9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9" s="14" t="str" cm="1">
        <f t="array" ref="BQ9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"M1032"-&gt;"A00006":("1.0", 100, TRUE);</v>
      </c>
      <c r="BR9" s="14" t="str" cm="1">
        <f t="array" ref="BR9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9" s="14" t="str" cm="1">
        <f t="array" ref="BS9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9" s="14" t="str" cm="1">
        <f t="array" ref="BT9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9" s="14" t="str" cm="1">
        <f t="array" ref="BU9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"M1027"-&gt;"A00006":("1.0", 100, TRUE);</v>
      </c>
      <c r="BV9" s="14" t="str" cm="1">
        <f t="array" ref="BV9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9" s="14" t="str" cm="1">
        <f t="array" ref="BW9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9" s="14" t="str" cm="1">
        <f t="array" ref="BX9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9" s="14" t="str" cm="1">
        <f t="array" ref="BY9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9" s="14" t="str" cm="1">
        <f t="array" ref="BZ9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9" s="14" t="str" cm="1">
        <f t="array" ref="CA9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9" s="14" t="str" cm="1">
        <f t="array" ref="CB9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9" s="14" t="str" cm="1">
        <f t="array" ref="CC9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9" s="14" t="str" cm="1">
        <f t="array" ref="CD9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"M1020"-&gt;"A00006":("1.0", 100, TRUE);</v>
      </c>
      <c r="CE9" s="14" t="str" cm="1">
        <f t="array" ref="CE9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9" s="14" t="str" cm="1">
        <f t="array" ref="CF9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9" s="14" t="str" cm="1">
        <f t="array" ref="CG9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"M1051"-&gt;"A00006":("1.0", 100, TRUE);</v>
      </c>
      <c r="CH9" s="14" t="str" cm="1">
        <f t="array" ref="CH9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9" s="14" t="str" cm="1">
        <f t="array" ref="CI9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9" s="14" t="str" cm="1">
        <f t="array" ref="CJ9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9" s="14" t="str" cm="1">
        <f t="array" ref="CK9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0" spans="2:89" x14ac:dyDescent="0.2">
      <c r="B10" s="13" t="s">
        <v>67</v>
      </c>
      <c r="C10" s="13" t="s">
        <v>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100</v>
      </c>
      <c r="W10" s="14">
        <v>50</v>
      </c>
      <c r="X10" s="14">
        <v>0</v>
      </c>
      <c r="Y10" s="14">
        <v>0</v>
      </c>
      <c r="Z10" s="14">
        <v>100</v>
      </c>
      <c r="AA10" s="14">
        <v>0</v>
      </c>
      <c r="AB10" s="14">
        <v>0</v>
      </c>
      <c r="AC10" s="14">
        <v>0</v>
      </c>
      <c r="AD10" s="14">
        <v>100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100</v>
      </c>
      <c r="AN10" s="14">
        <v>0</v>
      </c>
      <c r="AO10" s="14">
        <v>0</v>
      </c>
      <c r="AP10" s="14">
        <v>100</v>
      </c>
      <c r="AQ10" s="14">
        <v>0</v>
      </c>
      <c r="AR10" s="14">
        <v>0</v>
      </c>
      <c r="AS10" s="14">
        <v>0</v>
      </c>
      <c r="AT10" s="14">
        <v>0</v>
      </c>
      <c r="AU10" s="15" t="str" cm="1">
        <f t="array" ref="AU10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0" s="14" t="str" cm="1">
        <f t="array" ref="AV10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0" s="14" t="str" cm="1">
        <f t="array" ref="AW10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10" s="14" t="str" cm="1">
        <f t="array" ref="AX10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0" s="14" t="str" cm="1">
        <f t="array" ref="AY10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0" s="14" t="str" cm="1">
        <f t="array" ref="AZ10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0" s="14" t="str" cm="1">
        <f t="array" ref="BA10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0" s="14" t="str" cm="1">
        <f t="array" ref="BB10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10" s="14" t="str" cm="1">
        <f t="array" ref="BC10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0" s="14" t="str" cm="1">
        <f t="array" ref="BD10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0" s="14" t="str" cm="1">
        <f t="array" ref="BE10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0" s="14" t="str" cm="1">
        <f t="array" ref="BF10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0" s="14" t="str" cm="1">
        <f t="array" ref="BG10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0" s="14" t="str" cm="1">
        <f t="array" ref="BH10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0" s="14" t="str" cm="1">
        <f t="array" ref="BI10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0" s="14" t="str" cm="1">
        <f t="array" ref="BJ10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0" s="14" t="str" cm="1">
        <f t="array" ref="BK10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0" s="14" t="str" cm="1">
        <f t="array" ref="BL10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0" s="14" t="str" cm="1">
        <f t="array" ref="BM10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"M1037"-&gt;"A00007":("1.0", 100, TRUE);</v>
      </c>
      <c r="BN10" s="14" t="str" cm="1">
        <f t="array" ref="BN10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"M1035"-&gt;"A00007":("1.0", 50, TRUE);</v>
      </c>
      <c r="BO10" s="14" t="str" cm="1">
        <f t="array" ref="BO10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0" s="14" t="str" cm="1">
        <f t="array" ref="BP10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0" s="14" t="str" cm="1">
        <f t="array" ref="BQ10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"M1032"-&gt;"A00007":("1.0", 100, TRUE);</v>
      </c>
      <c r="BR10" s="14" t="str" cm="1">
        <f t="array" ref="BR10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0" s="14" t="str" cm="1">
        <f t="array" ref="BS10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0" s="14" t="str" cm="1">
        <f t="array" ref="BT10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0" s="14" t="str" cm="1">
        <f t="array" ref="BU10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"M1027"-&gt;"A00007":("1.0", 100, TRUE);</v>
      </c>
      <c r="BV10" s="14" t="str" cm="1">
        <f t="array" ref="BV10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0" s="14" t="str" cm="1">
        <f t="array" ref="BW10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0" s="14" t="str" cm="1">
        <f t="array" ref="BX10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0" s="14" t="str" cm="1">
        <f t="array" ref="BY10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0" s="14" t="str" cm="1">
        <f t="array" ref="BZ10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0" s="14" t="str" cm="1">
        <f t="array" ref="CA10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0" s="14" t="str" cm="1">
        <f t="array" ref="CB10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0" s="14" t="str" cm="1">
        <f t="array" ref="CC10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0" s="14" t="str" cm="1">
        <f t="array" ref="CD10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"M1020"-&gt;"A00007":("1.0", 100, TRUE);</v>
      </c>
      <c r="CE10" s="14" t="str" cm="1">
        <f t="array" ref="CE10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0" s="14" t="str" cm="1">
        <f t="array" ref="CF10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0" s="14" t="str" cm="1">
        <f t="array" ref="CG10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"M1051"-&gt;"A00007":("1.0", 100, TRUE);</v>
      </c>
      <c r="CH10" s="14" t="str" cm="1">
        <f t="array" ref="CH10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0" s="14" t="str" cm="1">
        <f t="array" ref="CI10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0" s="14" t="str" cm="1">
        <f t="array" ref="CJ10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0" s="14" t="str" cm="1">
        <f t="array" ref="CK10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1" spans="2:89" x14ac:dyDescent="0.2">
      <c r="B11" s="13" t="s">
        <v>68</v>
      </c>
      <c r="C11" s="13" t="s">
        <v>16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100</v>
      </c>
      <c r="W11" s="14">
        <v>50</v>
      </c>
      <c r="X11" s="14">
        <v>0</v>
      </c>
      <c r="Y11" s="14">
        <v>0</v>
      </c>
      <c r="Z11" s="14">
        <v>100</v>
      </c>
      <c r="AA11" s="14">
        <v>0</v>
      </c>
      <c r="AB11" s="14">
        <v>0</v>
      </c>
      <c r="AC11" s="14">
        <v>0</v>
      </c>
      <c r="AD11" s="14">
        <v>100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100</v>
      </c>
      <c r="AN11" s="14">
        <v>0</v>
      </c>
      <c r="AO11" s="14">
        <v>0</v>
      </c>
      <c r="AP11" s="14">
        <v>100</v>
      </c>
      <c r="AQ11" s="14">
        <v>0</v>
      </c>
      <c r="AR11" s="14">
        <v>0</v>
      </c>
      <c r="AS11" s="14">
        <v>0</v>
      </c>
      <c r="AT11" s="14">
        <v>0</v>
      </c>
      <c r="AU11" s="15" t="str" cm="1">
        <f t="array" ref="AU11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1" s="14" t="str" cm="1">
        <f t="array" ref="AV11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1" s="14" t="str" cm="1">
        <f t="array" ref="AW11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11" s="14" t="str" cm="1">
        <f t="array" ref="AX11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1" s="14" t="str" cm="1">
        <f t="array" ref="AY11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1" s="14" t="str" cm="1">
        <f t="array" ref="AZ11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1" s="14" t="str" cm="1">
        <f t="array" ref="BA11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1" s="14" t="str" cm="1">
        <f t="array" ref="BB11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11" s="14" t="str" cm="1">
        <f t="array" ref="BC11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1" s="14" t="str" cm="1">
        <f t="array" ref="BD11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1" s="14" t="str" cm="1">
        <f t="array" ref="BE11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1" s="14" t="str" cm="1">
        <f t="array" ref="BF11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1" s="14" t="str" cm="1">
        <f t="array" ref="BG11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1" s="14" t="str" cm="1">
        <f t="array" ref="BH11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1" s="14" t="str" cm="1">
        <f t="array" ref="BI11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1" s="14" t="str" cm="1">
        <f t="array" ref="BJ11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1" s="14" t="str" cm="1">
        <f t="array" ref="BK11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1" s="14" t="str" cm="1">
        <f t="array" ref="BL11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1" s="14" t="str" cm="1">
        <f t="array" ref="BM11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"M1037"-&gt;"A00008":("1.0", 100, TRUE);</v>
      </c>
      <c r="BN11" s="14" t="str" cm="1">
        <f t="array" ref="BN11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"M1035"-&gt;"A00008":("1.0", 50, TRUE);</v>
      </c>
      <c r="BO11" s="14" t="str" cm="1">
        <f t="array" ref="BO11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1" s="14" t="str" cm="1">
        <f t="array" ref="BP11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1" s="14" t="str" cm="1">
        <f t="array" ref="BQ11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"M1032"-&gt;"A00008":("1.0", 100, TRUE);</v>
      </c>
      <c r="BR11" s="14" t="str" cm="1">
        <f t="array" ref="BR11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1" s="14" t="str" cm="1">
        <f t="array" ref="BS11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1" s="14" t="str" cm="1">
        <f t="array" ref="BT11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1" s="14" t="str" cm="1">
        <f t="array" ref="BU11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"M1027"-&gt;"A00008":("1.0", 100, TRUE);</v>
      </c>
      <c r="BV11" s="14" t="str" cm="1">
        <f t="array" ref="BV11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1" s="14" t="str" cm="1">
        <f t="array" ref="BW11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1" s="14" t="str" cm="1">
        <f t="array" ref="BX11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1" s="14" t="str" cm="1">
        <f t="array" ref="BY11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1" s="14" t="str" cm="1">
        <f t="array" ref="BZ11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1" s="14" t="str" cm="1">
        <f t="array" ref="CA11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1" s="14" t="str" cm="1">
        <f t="array" ref="CB11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1" s="14" t="str" cm="1">
        <f t="array" ref="CC11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1" s="14" t="str" cm="1">
        <f t="array" ref="CD11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"M1020"-&gt;"A00008":("1.0", 100, TRUE);</v>
      </c>
      <c r="CE11" s="14" t="str" cm="1">
        <f t="array" ref="CE11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1" s="14" t="str" cm="1">
        <f t="array" ref="CF11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1" s="14" t="str" cm="1">
        <f t="array" ref="CG11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"M1051"-&gt;"A00008":("1.0", 100, TRUE);</v>
      </c>
      <c r="CH11" s="14" t="str" cm="1">
        <f t="array" ref="CH11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1" s="14" t="str" cm="1">
        <f t="array" ref="CI11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1" s="14" t="str" cm="1">
        <f t="array" ref="CJ11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1" s="14" t="str" cm="1">
        <f t="array" ref="CK11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2" spans="2:89" x14ac:dyDescent="0.2">
      <c r="B12" s="13" t="s">
        <v>69</v>
      </c>
      <c r="C12" s="13" t="s">
        <v>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100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100</v>
      </c>
      <c r="W12" s="14">
        <v>50</v>
      </c>
      <c r="X12" s="14">
        <v>0</v>
      </c>
      <c r="Y12" s="14">
        <v>0</v>
      </c>
      <c r="Z12" s="14">
        <v>100</v>
      </c>
      <c r="AA12" s="14">
        <v>0</v>
      </c>
      <c r="AB12" s="14">
        <v>0</v>
      </c>
      <c r="AC12" s="14">
        <v>0</v>
      </c>
      <c r="AD12" s="14">
        <v>100</v>
      </c>
      <c r="AE12" s="14">
        <v>0</v>
      </c>
      <c r="AF12" s="14">
        <v>0</v>
      </c>
      <c r="AG12" s="14">
        <v>0</v>
      </c>
      <c r="AH12" s="14">
        <v>0</v>
      </c>
      <c r="AI12" s="14">
        <v>100</v>
      </c>
      <c r="AJ12" s="14">
        <v>0</v>
      </c>
      <c r="AK12" s="14">
        <v>0</v>
      </c>
      <c r="AL12" s="14">
        <v>0</v>
      </c>
      <c r="AM12" s="14">
        <v>100</v>
      </c>
      <c r="AN12" s="14">
        <v>0</v>
      </c>
      <c r="AO12" s="14">
        <v>0</v>
      </c>
      <c r="AP12" s="14">
        <v>100</v>
      </c>
      <c r="AQ12" s="14">
        <v>0</v>
      </c>
      <c r="AR12" s="14">
        <v>0</v>
      </c>
      <c r="AS12" s="14">
        <v>0</v>
      </c>
      <c r="AT12" s="14">
        <v>0</v>
      </c>
      <c r="AU12" s="15" t="str" cm="1">
        <f t="array" ref="AU12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2" s="14" t="str" cm="1">
        <f t="array" ref="AV12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2" s="14" t="str" cm="1">
        <f t="array" ref="AW12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12" s="14" t="str" cm="1">
        <f t="array" ref="AX12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2" s="14" t="str" cm="1">
        <f t="array" ref="AY12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2" s="14" t="str" cm="1">
        <f t="array" ref="AZ12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2" s="14" t="str" cm="1">
        <f t="array" ref="BA12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2" s="14" t="str" cm="1">
        <f t="array" ref="BB12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>INSERT EDGE IF NOT EXISTS applied_to(Version, Maturity, Active) VALUES "M1046"-&gt;"A00009":("1.0", 100, TRUE);</v>
      </c>
      <c r="BC12" s="14" t="str" cm="1">
        <f t="array" ref="BC12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2" s="14" t="str" cm="1">
        <f t="array" ref="BD12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2" s="14" t="str" cm="1">
        <f t="array" ref="BE12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2" s="14" t="str" cm="1">
        <f t="array" ref="BF12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2" s="14" t="str" cm="1">
        <f t="array" ref="BG12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2" s="14" t="str" cm="1">
        <f t="array" ref="BH12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2" s="14" t="str" cm="1">
        <f t="array" ref="BI12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2" s="14" t="str" cm="1">
        <f t="array" ref="BJ12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2" s="14" t="str" cm="1">
        <f t="array" ref="BK12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2" s="14" t="str" cm="1">
        <f t="array" ref="BL12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2" s="14" t="str" cm="1">
        <f t="array" ref="BM12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"M1037"-&gt;"A00009":("1.0", 100, TRUE);</v>
      </c>
      <c r="BN12" s="14" t="str" cm="1">
        <f t="array" ref="BN12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"M1035"-&gt;"A00009":("1.0", 50, TRUE);</v>
      </c>
      <c r="BO12" s="14" t="str" cm="1">
        <f t="array" ref="BO12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2" s="14" t="str" cm="1">
        <f t="array" ref="BP12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2" s="14" t="str" cm="1">
        <f t="array" ref="BQ12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"M1032"-&gt;"A00009":("1.0", 100, TRUE);</v>
      </c>
      <c r="BR12" s="14" t="str" cm="1">
        <f t="array" ref="BR12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2" s="14" t="str" cm="1">
        <f t="array" ref="BS12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2" s="14" t="str" cm="1">
        <f t="array" ref="BT12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2" s="14" t="str" cm="1">
        <f t="array" ref="BU12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"M1027"-&gt;"A00009":("1.0", 100, TRUE);</v>
      </c>
      <c r="BV12" s="14" t="str" cm="1">
        <f t="array" ref="BV12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2" s="14" t="str" cm="1">
        <f t="array" ref="BW12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2" s="14" t="str" cm="1">
        <f t="array" ref="BX12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2" s="14" t="str" cm="1">
        <f t="array" ref="BY12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2" s="14" t="str" cm="1">
        <f t="array" ref="BZ12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>INSERT EDGE IF NOT EXISTS applied_to(Version, Maturity, Active) VALUES "M1022"-&gt;"A00009":("1.0", 100, TRUE);</v>
      </c>
      <c r="CA12" s="14" t="str" cm="1">
        <f t="array" ref="CA12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2" s="14" t="str" cm="1">
        <f t="array" ref="CB12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2" s="14" t="str" cm="1">
        <f t="array" ref="CC12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2" s="14" t="str" cm="1">
        <f t="array" ref="CD12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"M1020"-&gt;"A00009":("1.0", 100, TRUE);</v>
      </c>
      <c r="CE12" s="14" t="str" cm="1">
        <f t="array" ref="CE12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2" s="14" t="str" cm="1">
        <f t="array" ref="CF12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2" s="14" t="str" cm="1">
        <f t="array" ref="CG12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"M1051"-&gt;"A00009":("1.0", 100, TRUE);</v>
      </c>
      <c r="CH12" s="14" t="str" cm="1">
        <f t="array" ref="CH12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2" s="14" t="str" cm="1">
        <f t="array" ref="CI12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2" s="14" t="str" cm="1">
        <f t="array" ref="CJ12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2" s="14" t="str" cm="1">
        <f t="array" ref="CK12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3" spans="2:89" x14ac:dyDescent="0.2">
      <c r="B13" s="13" t="s">
        <v>70</v>
      </c>
      <c r="C13" s="13" t="s">
        <v>18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100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100</v>
      </c>
      <c r="W13" s="14">
        <v>50</v>
      </c>
      <c r="X13" s="14">
        <v>0</v>
      </c>
      <c r="Y13" s="14">
        <v>0</v>
      </c>
      <c r="Z13" s="14">
        <v>100</v>
      </c>
      <c r="AA13" s="14">
        <v>0</v>
      </c>
      <c r="AB13" s="14">
        <v>0</v>
      </c>
      <c r="AC13" s="14">
        <v>0</v>
      </c>
      <c r="AD13" s="14">
        <v>100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100</v>
      </c>
      <c r="AN13" s="14">
        <v>0</v>
      </c>
      <c r="AO13" s="14">
        <v>0</v>
      </c>
      <c r="AP13" s="14">
        <v>100</v>
      </c>
      <c r="AQ13" s="14">
        <v>0</v>
      </c>
      <c r="AR13" s="14">
        <v>0</v>
      </c>
      <c r="AS13" s="14">
        <v>100</v>
      </c>
      <c r="AT13" s="14">
        <v>0</v>
      </c>
      <c r="AU13" s="15" t="str" cm="1">
        <f t="array" ref="AU13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3" s="14" t="str" cm="1">
        <f t="array" ref="AV13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3" s="14" t="str" cm="1">
        <f t="array" ref="AW13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13" s="14" t="str" cm="1">
        <f t="array" ref="AX13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3" s="14" t="str" cm="1">
        <f t="array" ref="AY13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3" s="14" t="str" cm="1">
        <f t="array" ref="AZ13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3" s="14" t="str" cm="1">
        <f t="array" ref="BA13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3" s="14" t="str" cm="1">
        <f t="array" ref="BB13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>INSERT EDGE IF NOT EXISTS applied_to(Version, Maturity, Active) VALUES "M1046"-&gt;"A00010":("1.0", 100, TRUE);</v>
      </c>
      <c r="BC13" s="14" t="str" cm="1">
        <f t="array" ref="BC13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3" s="14" t="str" cm="1">
        <f t="array" ref="BD13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3" s="14" t="str" cm="1">
        <f t="array" ref="BE13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3" s="14" t="str" cm="1">
        <f t="array" ref="BF13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3" s="14" t="str" cm="1">
        <f t="array" ref="BG13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3" s="14" t="str" cm="1">
        <f t="array" ref="BH13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3" s="14" t="str" cm="1">
        <f t="array" ref="BI13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3" s="14" t="str" cm="1">
        <f t="array" ref="BJ13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3" s="14" t="str" cm="1">
        <f t="array" ref="BK13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3" s="14" t="str" cm="1">
        <f t="array" ref="BL13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3" s="14" t="str" cm="1">
        <f t="array" ref="BM13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"M1037"-&gt;"A00010":("1.0", 100, TRUE);</v>
      </c>
      <c r="BN13" s="14" t="str" cm="1">
        <f t="array" ref="BN13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"M1035"-&gt;"A00010":("1.0", 50, TRUE);</v>
      </c>
      <c r="BO13" s="14" t="str" cm="1">
        <f t="array" ref="BO13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3" s="14" t="str" cm="1">
        <f t="array" ref="BP13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3" s="14" t="str" cm="1">
        <f t="array" ref="BQ13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"M1032"-&gt;"A00010":("1.0", 100, TRUE);</v>
      </c>
      <c r="BR13" s="14" t="str" cm="1">
        <f t="array" ref="BR13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3" s="14" t="str" cm="1">
        <f t="array" ref="BS13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3" s="14" t="str" cm="1">
        <f t="array" ref="BT13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3" s="14" t="str" cm="1">
        <f t="array" ref="BU13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"M1027"-&gt;"A00010":("1.0", 100, TRUE);</v>
      </c>
      <c r="BV13" s="14" t="str" cm="1">
        <f t="array" ref="BV13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3" s="14" t="str" cm="1">
        <f t="array" ref="BW13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3" s="14" t="str" cm="1">
        <f t="array" ref="BX13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3" s="14" t="str" cm="1">
        <f t="array" ref="BY13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3" s="14" t="str" cm="1">
        <f t="array" ref="BZ13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3" s="14" t="str" cm="1">
        <f t="array" ref="CA13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3" s="14" t="str" cm="1">
        <f t="array" ref="CB13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3" s="14" t="str" cm="1">
        <f t="array" ref="CC13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3" s="14" t="str" cm="1">
        <f t="array" ref="CD13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"M1020"-&gt;"A00010":("1.0", 100, TRUE);</v>
      </c>
      <c r="CE13" s="14" t="str" cm="1">
        <f t="array" ref="CE13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3" s="14" t="str" cm="1">
        <f t="array" ref="CF13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3" s="14" t="str" cm="1">
        <f t="array" ref="CG13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"M1051"-&gt;"A00010":("1.0", 100, TRUE);</v>
      </c>
      <c r="CH13" s="14" t="str" cm="1">
        <f t="array" ref="CH13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3" s="14" t="str" cm="1">
        <f t="array" ref="CI13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3" s="14" t="str" cm="1">
        <f t="array" ref="CJ13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>INSERT EDGE IF NOT EXISTS applied_to(Version, Maturity, Active) VALUES "M1017"-&gt;"A00010":("1.0", 100, TRUE);</v>
      </c>
      <c r="CK13" s="14" t="str" cm="1">
        <f t="array" ref="CK13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4" spans="2:89" x14ac:dyDescent="0.2">
      <c r="B14" s="13" t="s">
        <v>71</v>
      </c>
      <c r="C14" s="13" t="s">
        <v>19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100</v>
      </c>
      <c r="W14" s="14">
        <v>50</v>
      </c>
      <c r="X14" s="14">
        <v>0</v>
      </c>
      <c r="Y14" s="14">
        <v>0</v>
      </c>
      <c r="Z14" s="14">
        <v>100</v>
      </c>
      <c r="AA14" s="14">
        <v>0</v>
      </c>
      <c r="AB14" s="14">
        <v>0</v>
      </c>
      <c r="AC14" s="14">
        <v>0</v>
      </c>
      <c r="AD14" s="14">
        <v>100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100</v>
      </c>
      <c r="AN14" s="14">
        <v>0</v>
      </c>
      <c r="AO14" s="14">
        <v>0</v>
      </c>
      <c r="AP14" s="14">
        <v>100</v>
      </c>
      <c r="AQ14" s="14">
        <v>0</v>
      </c>
      <c r="AR14" s="14">
        <v>0</v>
      </c>
      <c r="AS14" s="14">
        <v>0</v>
      </c>
      <c r="AT14" s="14">
        <v>0</v>
      </c>
      <c r="AU14" s="15" t="str" cm="1">
        <f t="array" ref="AU14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4" s="14" t="str" cm="1">
        <f t="array" ref="AV14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4" s="14" t="str" cm="1">
        <f t="array" ref="AW14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14" s="14" t="str" cm="1">
        <f t="array" ref="AX14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4" s="14" t="str" cm="1">
        <f t="array" ref="AY14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4" s="14" t="str" cm="1">
        <f t="array" ref="AZ14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4" s="14" t="str" cm="1">
        <f t="array" ref="BA14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4" s="14" t="str" cm="1">
        <f t="array" ref="BB14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14" s="14" t="str" cm="1">
        <f t="array" ref="BC14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4" s="14" t="str" cm="1">
        <f t="array" ref="BD14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4" s="14" t="str" cm="1">
        <f t="array" ref="BE14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4" s="14" t="str" cm="1">
        <f t="array" ref="BF14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4" s="14" t="str" cm="1">
        <f t="array" ref="BG14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4" s="14" t="str" cm="1">
        <f t="array" ref="BH14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4" s="14" t="str" cm="1">
        <f t="array" ref="BI14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4" s="14" t="str" cm="1">
        <f t="array" ref="BJ14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4" s="14" t="str" cm="1">
        <f t="array" ref="BK14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4" s="14" t="str" cm="1">
        <f t="array" ref="BL14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4" s="14" t="str" cm="1">
        <f t="array" ref="BM14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"M1037"-&gt;"A00011":("1.0", 100, TRUE);</v>
      </c>
      <c r="BN14" s="14" t="str" cm="1">
        <f t="array" ref="BN14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"M1035"-&gt;"A00011":("1.0", 50, TRUE);</v>
      </c>
      <c r="BO14" s="14" t="str" cm="1">
        <f t="array" ref="BO14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4" s="14" t="str" cm="1">
        <f t="array" ref="BP14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4" s="14" t="str" cm="1">
        <f t="array" ref="BQ14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"M1032"-&gt;"A00011":("1.0", 100, TRUE);</v>
      </c>
      <c r="BR14" s="14" t="str" cm="1">
        <f t="array" ref="BR14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4" s="14" t="str" cm="1">
        <f t="array" ref="BS14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4" s="14" t="str" cm="1">
        <f t="array" ref="BT14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4" s="14" t="str" cm="1">
        <f t="array" ref="BU14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"M1027"-&gt;"A00011":("1.0", 100, TRUE);</v>
      </c>
      <c r="BV14" s="14" t="str" cm="1">
        <f t="array" ref="BV14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4" s="14" t="str" cm="1">
        <f t="array" ref="BW14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4" s="14" t="str" cm="1">
        <f t="array" ref="BX14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4" s="14" t="str" cm="1">
        <f t="array" ref="BY14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4" s="14" t="str" cm="1">
        <f t="array" ref="BZ14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4" s="14" t="str" cm="1">
        <f t="array" ref="CA14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4" s="14" t="str" cm="1">
        <f t="array" ref="CB14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4" s="14" t="str" cm="1">
        <f t="array" ref="CC14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4" s="14" t="str" cm="1">
        <f t="array" ref="CD14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"M1020"-&gt;"A00011":("1.0", 100, TRUE);</v>
      </c>
      <c r="CE14" s="14" t="str" cm="1">
        <f t="array" ref="CE14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4" s="14" t="str" cm="1">
        <f t="array" ref="CF14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4" s="14" t="str" cm="1">
        <f t="array" ref="CG14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"M1051"-&gt;"A00011":("1.0", 100, TRUE);</v>
      </c>
      <c r="CH14" s="14" t="str" cm="1">
        <f t="array" ref="CH14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4" s="14" t="str" cm="1">
        <f t="array" ref="CI14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4" s="14" t="str" cm="1">
        <f t="array" ref="CJ14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4" s="14" t="str" cm="1">
        <f t="array" ref="CK14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5" spans="2:89" x14ac:dyDescent="0.2">
      <c r="B15" s="13" t="s">
        <v>72</v>
      </c>
      <c r="C15" s="13" t="s">
        <v>20</v>
      </c>
      <c r="D15" s="14">
        <v>0</v>
      </c>
      <c r="E15" s="14">
        <v>0</v>
      </c>
      <c r="F15" s="14">
        <v>100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100</v>
      </c>
      <c r="W15" s="14">
        <v>50</v>
      </c>
      <c r="X15" s="14">
        <v>0</v>
      </c>
      <c r="Y15" s="14">
        <v>0</v>
      </c>
      <c r="Z15" s="14">
        <v>100</v>
      </c>
      <c r="AA15" s="14">
        <v>0</v>
      </c>
      <c r="AB15" s="14">
        <v>0</v>
      </c>
      <c r="AC15" s="14">
        <v>0</v>
      </c>
      <c r="AD15" s="14">
        <v>100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100</v>
      </c>
      <c r="AN15" s="14">
        <v>0</v>
      </c>
      <c r="AO15" s="14">
        <v>0</v>
      </c>
      <c r="AP15" s="14">
        <v>100</v>
      </c>
      <c r="AQ15" s="14">
        <v>0</v>
      </c>
      <c r="AR15" s="14">
        <v>0</v>
      </c>
      <c r="AS15" s="14">
        <v>0</v>
      </c>
      <c r="AT15" s="14">
        <v>0</v>
      </c>
      <c r="AU15" s="15" t="str" cm="1">
        <f t="array" ref="AU15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5" s="14" t="str" cm="1">
        <f t="array" ref="AV15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5" s="14" t="str" cm="1">
        <f t="array" ref="AW15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>INSERT EDGE IF NOT EXISTS applied_to(Version, Maturity, Active) VALUES "M1049"-&gt;"A00012":("1.0", 100, TRUE);</v>
      </c>
      <c r="AX15" s="14" t="str" cm="1">
        <f t="array" ref="AX15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5" s="14" t="str" cm="1">
        <f t="array" ref="AY15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5" s="14" t="str" cm="1">
        <f t="array" ref="AZ15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5" s="14" t="str" cm="1">
        <f t="array" ref="BA15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5" s="14" t="str" cm="1">
        <f t="array" ref="BB15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15" s="14" t="str" cm="1">
        <f t="array" ref="BC15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5" s="14" t="str" cm="1">
        <f t="array" ref="BD15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5" s="14" t="str" cm="1">
        <f t="array" ref="BE15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5" s="14" t="str" cm="1">
        <f t="array" ref="BF15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5" s="14" t="str" cm="1">
        <f t="array" ref="BG15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5" s="14" t="str" cm="1">
        <f t="array" ref="BH15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5" s="14" t="str" cm="1">
        <f t="array" ref="BI15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5" s="14" t="str" cm="1">
        <f t="array" ref="BJ15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5" s="14" t="str" cm="1">
        <f t="array" ref="BK15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5" s="14" t="str" cm="1">
        <f t="array" ref="BL15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5" s="14" t="str" cm="1">
        <f t="array" ref="BM15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"M1037"-&gt;"A00012":("1.0", 100, TRUE);</v>
      </c>
      <c r="BN15" s="14" t="str" cm="1">
        <f t="array" ref="BN15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"M1035"-&gt;"A00012":("1.0", 50, TRUE);</v>
      </c>
      <c r="BO15" s="14" t="str" cm="1">
        <f t="array" ref="BO15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5" s="14" t="str" cm="1">
        <f t="array" ref="BP15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5" s="14" t="str" cm="1">
        <f t="array" ref="BQ15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"M1032"-&gt;"A00012":("1.0", 100, TRUE);</v>
      </c>
      <c r="BR15" s="14" t="str" cm="1">
        <f t="array" ref="BR15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5" s="14" t="str" cm="1">
        <f t="array" ref="BS15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5" s="14" t="str" cm="1">
        <f t="array" ref="BT15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5" s="14" t="str" cm="1">
        <f t="array" ref="BU15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"M1027"-&gt;"A00012":("1.0", 100, TRUE);</v>
      </c>
      <c r="BV15" s="14" t="str" cm="1">
        <f t="array" ref="BV15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5" s="14" t="str" cm="1">
        <f t="array" ref="BW15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5" s="14" t="str" cm="1">
        <f t="array" ref="BX15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5" s="14" t="str" cm="1">
        <f t="array" ref="BY15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5" s="14" t="str" cm="1">
        <f t="array" ref="BZ15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5" s="14" t="str" cm="1">
        <f t="array" ref="CA15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5" s="14" t="str" cm="1">
        <f t="array" ref="CB15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5" s="14" t="str" cm="1">
        <f t="array" ref="CC15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5" s="14" t="str" cm="1">
        <f t="array" ref="CD15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"M1020"-&gt;"A00012":("1.0", 100, TRUE);</v>
      </c>
      <c r="CE15" s="14" t="str" cm="1">
        <f t="array" ref="CE15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5" s="14" t="str" cm="1">
        <f t="array" ref="CF15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5" s="14" t="str" cm="1">
        <f t="array" ref="CG15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"M1051"-&gt;"A00012":("1.0", 100, TRUE);</v>
      </c>
      <c r="CH15" s="14" t="str" cm="1">
        <f t="array" ref="CH15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5" s="14" t="str" cm="1">
        <f t="array" ref="CI15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5" s="14" t="str" cm="1">
        <f t="array" ref="CJ15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5" s="14" t="str" cm="1">
        <f t="array" ref="CK15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6" spans="2:89" x14ac:dyDescent="0.2">
      <c r="B16" s="13" t="s">
        <v>73</v>
      </c>
      <c r="C16" s="13" t="s">
        <v>21</v>
      </c>
      <c r="D16" s="14">
        <v>100</v>
      </c>
      <c r="E16" s="14">
        <v>0</v>
      </c>
      <c r="F16" s="14">
        <v>100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100</v>
      </c>
      <c r="W16" s="14">
        <v>50</v>
      </c>
      <c r="X16" s="14">
        <v>0</v>
      </c>
      <c r="Y16" s="14">
        <v>0</v>
      </c>
      <c r="Z16" s="14">
        <v>100</v>
      </c>
      <c r="AA16" s="14">
        <v>0</v>
      </c>
      <c r="AB16" s="14">
        <v>0</v>
      </c>
      <c r="AC16" s="14">
        <v>0</v>
      </c>
      <c r="AD16" s="14">
        <v>100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100</v>
      </c>
      <c r="AN16" s="14">
        <v>0</v>
      </c>
      <c r="AO16" s="14">
        <v>0</v>
      </c>
      <c r="AP16" s="14">
        <v>100</v>
      </c>
      <c r="AQ16" s="14">
        <v>0</v>
      </c>
      <c r="AR16" s="14">
        <v>0</v>
      </c>
      <c r="AS16" s="14">
        <v>0</v>
      </c>
      <c r="AT16" s="14">
        <v>0</v>
      </c>
      <c r="AU16" s="15" t="str" cm="1">
        <f t="array" ref="AU16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>INSERT EDGE IF NOT EXISTS applied_to(Version, Maturity, Active) VALUES "M1036"-&gt;"A00013":("1.0", 100, TRUE);</v>
      </c>
      <c r="AV16" s="14" t="str" cm="1">
        <f t="array" ref="AV16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6" s="14" t="str" cm="1">
        <f t="array" ref="AW16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>INSERT EDGE IF NOT EXISTS applied_to(Version, Maturity, Active) VALUES "M1049"-&gt;"A00013":("1.0", 100, TRUE);</v>
      </c>
      <c r="AX16" s="14" t="str" cm="1">
        <f t="array" ref="AX16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6" s="14" t="str" cm="1">
        <f t="array" ref="AY16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6" s="14" t="str" cm="1">
        <f t="array" ref="AZ16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6" s="14" t="str" cm="1">
        <f t="array" ref="BA16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6" s="14" t="str" cm="1">
        <f t="array" ref="BB16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16" s="14" t="str" cm="1">
        <f t="array" ref="BC16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6" s="14" t="str" cm="1">
        <f t="array" ref="BD16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6" s="14" t="str" cm="1">
        <f t="array" ref="BE16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6" s="14" t="str" cm="1">
        <f t="array" ref="BF16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6" s="14" t="str" cm="1">
        <f t="array" ref="BG16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6" s="14" t="str" cm="1">
        <f t="array" ref="BH16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6" s="14" t="str" cm="1">
        <f t="array" ref="BI16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6" s="14" t="str" cm="1">
        <f t="array" ref="BJ16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6" s="14" t="str" cm="1">
        <f t="array" ref="BK16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6" s="14" t="str" cm="1">
        <f t="array" ref="BL16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6" s="14" t="str" cm="1">
        <f t="array" ref="BM16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"M1037"-&gt;"A00013":("1.0", 100, TRUE);</v>
      </c>
      <c r="BN16" s="14" t="str" cm="1">
        <f t="array" ref="BN16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"M1035"-&gt;"A00013":("1.0", 50, TRUE);</v>
      </c>
      <c r="BO16" s="14" t="str" cm="1">
        <f t="array" ref="BO16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6" s="14" t="str" cm="1">
        <f t="array" ref="BP16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6" s="14" t="str" cm="1">
        <f t="array" ref="BQ16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"M1032"-&gt;"A00013":("1.0", 100, TRUE);</v>
      </c>
      <c r="BR16" s="14" t="str" cm="1">
        <f t="array" ref="BR16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6" s="14" t="str" cm="1">
        <f t="array" ref="BS16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6" s="14" t="str" cm="1">
        <f t="array" ref="BT16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6" s="14" t="str" cm="1">
        <f t="array" ref="BU16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"M1027"-&gt;"A00013":("1.0", 100, TRUE);</v>
      </c>
      <c r="BV16" s="14" t="str" cm="1">
        <f t="array" ref="BV16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6" s="14" t="str" cm="1">
        <f t="array" ref="BW16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6" s="14" t="str" cm="1">
        <f t="array" ref="BX16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6" s="14" t="str" cm="1">
        <f t="array" ref="BY16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6" s="14" t="str" cm="1">
        <f t="array" ref="BZ16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6" s="14" t="str" cm="1">
        <f t="array" ref="CA16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6" s="14" t="str" cm="1">
        <f t="array" ref="CB16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6" s="14" t="str" cm="1">
        <f t="array" ref="CC16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6" s="14" t="str" cm="1">
        <f t="array" ref="CD16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"M1020"-&gt;"A00013":("1.0", 100, TRUE);</v>
      </c>
      <c r="CE16" s="14" t="str" cm="1">
        <f t="array" ref="CE16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6" s="14" t="str" cm="1">
        <f t="array" ref="CF16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6" s="14" t="str" cm="1">
        <f t="array" ref="CG16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"M1051"-&gt;"A00013":("1.0", 100, TRUE);</v>
      </c>
      <c r="CH16" s="14" t="str" cm="1">
        <f t="array" ref="CH16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6" s="14" t="str" cm="1">
        <f t="array" ref="CI16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6" s="14" t="str" cm="1">
        <f t="array" ref="CJ16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6" s="14" t="str" cm="1">
        <f t="array" ref="CK16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7" spans="2:89" x14ac:dyDescent="0.2">
      <c r="B17" s="13" t="s">
        <v>74</v>
      </c>
      <c r="C17" s="13" t="s">
        <v>22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100</v>
      </c>
      <c r="W17" s="14">
        <v>50</v>
      </c>
      <c r="X17" s="14">
        <v>0</v>
      </c>
      <c r="Y17" s="14">
        <v>0</v>
      </c>
      <c r="Z17" s="14">
        <v>100</v>
      </c>
      <c r="AA17" s="14">
        <v>0</v>
      </c>
      <c r="AB17" s="14">
        <v>0</v>
      </c>
      <c r="AC17" s="14">
        <v>0</v>
      </c>
      <c r="AD17" s="14">
        <v>100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100</v>
      </c>
      <c r="AN17" s="14">
        <v>0</v>
      </c>
      <c r="AO17" s="14">
        <v>0</v>
      </c>
      <c r="AP17" s="14">
        <v>100</v>
      </c>
      <c r="AQ17" s="14">
        <v>0</v>
      </c>
      <c r="AR17" s="14">
        <v>0</v>
      </c>
      <c r="AS17" s="14">
        <v>0</v>
      </c>
      <c r="AT17" s="14">
        <v>0</v>
      </c>
      <c r="AU17" s="15" t="str" cm="1">
        <f t="array" ref="AU17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7" s="14" t="str" cm="1">
        <f t="array" ref="AV17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7" s="14" t="str" cm="1">
        <f t="array" ref="AW17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17" s="14" t="str" cm="1">
        <f t="array" ref="AX17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7" s="14" t="str" cm="1">
        <f t="array" ref="AY17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7" s="14" t="str" cm="1">
        <f t="array" ref="AZ17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7" s="14" t="str" cm="1">
        <f t="array" ref="BA17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7" s="14" t="str" cm="1">
        <f t="array" ref="BB17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17" s="14" t="str" cm="1">
        <f t="array" ref="BC17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7" s="14" t="str" cm="1">
        <f t="array" ref="BD17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7" s="14" t="str" cm="1">
        <f t="array" ref="BE17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7" s="14" t="str" cm="1">
        <f t="array" ref="BF17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7" s="14" t="str" cm="1">
        <f t="array" ref="BG17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7" s="14" t="str" cm="1">
        <f t="array" ref="BH17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7" s="14" t="str" cm="1">
        <f t="array" ref="BI17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7" s="14" t="str" cm="1">
        <f t="array" ref="BJ17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7" s="14" t="str" cm="1">
        <f t="array" ref="BK17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7" s="14" t="str" cm="1">
        <f t="array" ref="BL17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7" s="14" t="str" cm="1">
        <f t="array" ref="BM17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"M1037"-&gt;"A00014":("1.0", 100, TRUE);</v>
      </c>
      <c r="BN17" s="14" t="str" cm="1">
        <f t="array" ref="BN17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"M1035"-&gt;"A00014":("1.0", 50, TRUE);</v>
      </c>
      <c r="BO17" s="14" t="str" cm="1">
        <f t="array" ref="BO17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7" s="14" t="str" cm="1">
        <f t="array" ref="BP17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7" s="14" t="str" cm="1">
        <f t="array" ref="BQ17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"M1032"-&gt;"A00014":("1.0", 100, TRUE);</v>
      </c>
      <c r="BR17" s="14" t="str" cm="1">
        <f t="array" ref="BR17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7" s="14" t="str" cm="1">
        <f t="array" ref="BS17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7" s="14" t="str" cm="1">
        <f t="array" ref="BT17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7" s="14" t="str" cm="1">
        <f t="array" ref="BU17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"M1027"-&gt;"A00014":("1.0", 100, TRUE);</v>
      </c>
      <c r="BV17" s="14" t="str" cm="1">
        <f t="array" ref="BV17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7" s="14" t="str" cm="1">
        <f t="array" ref="BW17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7" s="14" t="str" cm="1">
        <f t="array" ref="BX17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7" s="14" t="str" cm="1">
        <f t="array" ref="BY17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7" s="14" t="str" cm="1">
        <f t="array" ref="BZ17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7" s="14" t="str" cm="1">
        <f t="array" ref="CA17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7" s="14" t="str" cm="1">
        <f t="array" ref="CB17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7" s="14" t="str" cm="1">
        <f t="array" ref="CC17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7" s="14" t="str" cm="1">
        <f t="array" ref="CD17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"M1020"-&gt;"A00014":("1.0", 100, TRUE);</v>
      </c>
      <c r="CE17" s="14" t="str" cm="1">
        <f t="array" ref="CE17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7" s="14" t="str" cm="1">
        <f t="array" ref="CF17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7" s="14" t="str" cm="1">
        <f t="array" ref="CG17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"M1051"-&gt;"A00014":("1.0", 100, TRUE);</v>
      </c>
      <c r="CH17" s="14" t="str" cm="1">
        <f t="array" ref="CH17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7" s="14" t="str" cm="1">
        <f t="array" ref="CI17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7" s="14" t="str" cm="1">
        <f t="array" ref="CJ17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7" s="14" t="str" cm="1">
        <f t="array" ref="CK17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8" spans="2:89" x14ac:dyDescent="0.2">
      <c r="B18" s="13" t="s">
        <v>75</v>
      </c>
      <c r="C18" s="13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100</v>
      </c>
      <c r="W18" s="14">
        <v>50</v>
      </c>
      <c r="X18" s="14">
        <v>0</v>
      </c>
      <c r="Y18" s="14">
        <v>0</v>
      </c>
      <c r="Z18" s="14">
        <v>100</v>
      </c>
      <c r="AA18" s="14">
        <v>0</v>
      </c>
      <c r="AB18" s="14">
        <v>0</v>
      </c>
      <c r="AC18" s="14">
        <v>0</v>
      </c>
      <c r="AD18" s="14">
        <v>100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100</v>
      </c>
      <c r="AN18" s="14">
        <v>0</v>
      </c>
      <c r="AO18" s="14">
        <v>0</v>
      </c>
      <c r="AP18" s="14">
        <v>100</v>
      </c>
      <c r="AQ18" s="14">
        <v>0</v>
      </c>
      <c r="AR18" s="14">
        <v>0</v>
      </c>
      <c r="AS18" s="14">
        <v>0</v>
      </c>
      <c r="AT18" s="14">
        <v>0</v>
      </c>
      <c r="AU18" s="15" t="str" cm="1">
        <f t="array" ref="AU18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8" s="14" t="str" cm="1">
        <f t="array" ref="AV18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8" s="14" t="str" cm="1">
        <f t="array" ref="AW18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18" s="14" t="str" cm="1">
        <f t="array" ref="AX18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8" s="14" t="str" cm="1">
        <f t="array" ref="AY18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8" s="14" t="str" cm="1">
        <f t="array" ref="AZ18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8" s="14" t="str" cm="1">
        <f t="array" ref="BA18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8" s="14" t="str" cm="1">
        <f t="array" ref="BB18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18" s="14" t="str" cm="1">
        <f t="array" ref="BC18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8" s="14" t="str" cm="1">
        <f t="array" ref="BD18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8" s="14" t="str" cm="1">
        <f t="array" ref="BE18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8" s="14" t="str" cm="1">
        <f t="array" ref="BF18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8" s="14" t="str" cm="1">
        <f t="array" ref="BG18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8" s="14" t="str" cm="1">
        <f t="array" ref="BH18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8" s="14" t="str" cm="1">
        <f t="array" ref="BI18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8" s="14" t="str" cm="1">
        <f t="array" ref="BJ18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8" s="14" t="str" cm="1">
        <f t="array" ref="BK18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8" s="14" t="str" cm="1">
        <f t="array" ref="BL18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8" s="14" t="str" cm="1">
        <f t="array" ref="BM18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"M1037"-&gt;"A00015":("1.0", 100, TRUE);</v>
      </c>
      <c r="BN18" s="14" t="str" cm="1">
        <f t="array" ref="BN18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"M1035"-&gt;"A00015":("1.0", 50, TRUE);</v>
      </c>
      <c r="BO18" s="14" t="str" cm="1">
        <f t="array" ref="BO18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8" s="14" t="str" cm="1">
        <f t="array" ref="BP18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8" s="14" t="str" cm="1">
        <f t="array" ref="BQ18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"M1032"-&gt;"A00015":("1.0", 100, TRUE);</v>
      </c>
      <c r="BR18" s="14" t="str" cm="1">
        <f t="array" ref="BR18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8" s="14" t="str" cm="1">
        <f t="array" ref="BS18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8" s="14" t="str" cm="1">
        <f t="array" ref="BT18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8" s="14" t="str" cm="1">
        <f t="array" ref="BU18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"M1027"-&gt;"A00015":("1.0", 100, TRUE);</v>
      </c>
      <c r="BV18" s="14" t="str" cm="1">
        <f t="array" ref="BV18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8" s="14" t="str" cm="1">
        <f t="array" ref="BW18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8" s="14" t="str" cm="1">
        <f t="array" ref="BX18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8" s="14" t="str" cm="1">
        <f t="array" ref="BY18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8" s="14" t="str" cm="1">
        <f t="array" ref="BZ18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8" s="14" t="str" cm="1">
        <f t="array" ref="CA18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8" s="14" t="str" cm="1">
        <f t="array" ref="CB18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8" s="14" t="str" cm="1">
        <f t="array" ref="CC18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8" s="14" t="str" cm="1">
        <f t="array" ref="CD18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"M1020"-&gt;"A00015":("1.0", 100, TRUE);</v>
      </c>
      <c r="CE18" s="14" t="str" cm="1">
        <f t="array" ref="CE18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8" s="14" t="str" cm="1">
        <f t="array" ref="CF18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8" s="14" t="str" cm="1">
        <f t="array" ref="CG18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"M1051"-&gt;"A00015":("1.0", 100, TRUE);</v>
      </c>
      <c r="CH18" s="14" t="str" cm="1">
        <f t="array" ref="CH18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8" s="14" t="str" cm="1">
        <f t="array" ref="CI18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8" s="14" t="str" cm="1">
        <f t="array" ref="CJ18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8" s="14" t="str" cm="1">
        <f t="array" ref="CK18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19" spans="2:89" x14ac:dyDescent="0.2">
      <c r="B19" s="13" t="s">
        <v>76</v>
      </c>
      <c r="C19" s="13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100</v>
      </c>
      <c r="W19" s="14">
        <v>50</v>
      </c>
      <c r="X19" s="14">
        <v>0</v>
      </c>
      <c r="Y19" s="14">
        <v>0</v>
      </c>
      <c r="Z19" s="14">
        <v>100</v>
      </c>
      <c r="AA19" s="14">
        <v>0</v>
      </c>
      <c r="AB19" s="14">
        <v>0</v>
      </c>
      <c r="AC19" s="14">
        <v>0</v>
      </c>
      <c r="AD19" s="14">
        <v>100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100</v>
      </c>
      <c r="AN19" s="14">
        <v>0</v>
      </c>
      <c r="AO19" s="14">
        <v>0</v>
      </c>
      <c r="AP19" s="14">
        <v>100</v>
      </c>
      <c r="AQ19" s="14">
        <v>0</v>
      </c>
      <c r="AR19" s="14">
        <v>0</v>
      </c>
      <c r="AS19" s="14">
        <v>0</v>
      </c>
      <c r="AT19" s="14">
        <v>0</v>
      </c>
      <c r="AU19" s="15" t="str" cm="1">
        <f t="array" ref="AU19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19" s="14" t="str" cm="1">
        <f t="array" ref="AV19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19" s="14" t="str" cm="1">
        <f t="array" ref="AW19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19" s="14" t="str" cm="1">
        <f t="array" ref="AX19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19" s="14" t="str" cm="1">
        <f t="array" ref="AY19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19" s="14" t="str" cm="1">
        <f t="array" ref="AZ19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19" s="14" t="str" cm="1">
        <f t="array" ref="BA19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19" s="14" t="str" cm="1">
        <f t="array" ref="BB19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19" s="14" t="str" cm="1">
        <f t="array" ref="BC19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19" s="14" t="str" cm="1">
        <f t="array" ref="BD19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19" s="14" t="str" cm="1">
        <f t="array" ref="BE19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19" s="14" t="str" cm="1">
        <f t="array" ref="BF19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19" s="14" t="str" cm="1">
        <f t="array" ref="BG19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19" s="14" t="str" cm="1">
        <f t="array" ref="BH19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19" s="14" t="str" cm="1">
        <f t="array" ref="BI19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19" s="14" t="str" cm="1">
        <f t="array" ref="BJ19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19" s="14" t="str" cm="1">
        <f t="array" ref="BK19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19" s="14" t="str" cm="1">
        <f t="array" ref="BL19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19" s="14" t="str" cm="1">
        <f t="array" ref="BM19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"M1037"-&gt;"A00016":("1.0", 100, TRUE);</v>
      </c>
      <c r="BN19" s="14" t="str" cm="1">
        <f t="array" ref="BN19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"M1035"-&gt;"A00016":("1.0", 50, TRUE);</v>
      </c>
      <c r="BO19" s="14" t="str" cm="1">
        <f t="array" ref="BO19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19" s="14" t="str" cm="1">
        <f t="array" ref="BP19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19" s="14" t="str" cm="1">
        <f t="array" ref="BQ19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"M1032"-&gt;"A00016":("1.0", 100, TRUE);</v>
      </c>
      <c r="BR19" s="14" t="str" cm="1">
        <f t="array" ref="BR19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19" s="14" t="str" cm="1">
        <f t="array" ref="BS19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19" s="14" t="str" cm="1">
        <f t="array" ref="BT19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19" s="14" t="str" cm="1">
        <f t="array" ref="BU19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"M1027"-&gt;"A00016":("1.0", 100, TRUE);</v>
      </c>
      <c r="BV19" s="14" t="str" cm="1">
        <f t="array" ref="BV19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19" s="14" t="str" cm="1">
        <f t="array" ref="BW19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19" s="14" t="str" cm="1">
        <f t="array" ref="BX19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19" s="14" t="str" cm="1">
        <f t="array" ref="BY19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19" s="14" t="str" cm="1">
        <f t="array" ref="BZ19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19" s="14" t="str" cm="1">
        <f t="array" ref="CA19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19" s="14" t="str" cm="1">
        <f t="array" ref="CB19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19" s="14" t="str" cm="1">
        <f t="array" ref="CC19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19" s="14" t="str" cm="1">
        <f t="array" ref="CD19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"M1020"-&gt;"A00016":("1.0", 100, TRUE);</v>
      </c>
      <c r="CE19" s="14" t="str" cm="1">
        <f t="array" ref="CE19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19" s="14" t="str" cm="1">
        <f t="array" ref="CF19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19" s="14" t="str" cm="1">
        <f t="array" ref="CG19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"M1051"-&gt;"A00016":("1.0", 100, TRUE);</v>
      </c>
      <c r="CH19" s="14" t="str" cm="1">
        <f t="array" ref="CH19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19" s="14" t="str" cm="1">
        <f t="array" ref="CI19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19" s="14" t="str" cm="1">
        <f t="array" ref="CJ19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19" s="14" t="str" cm="1">
        <f t="array" ref="CK19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0" spans="2:89" x14ac:dyDescent="0.2">
      <c r="B20" s="13" t="s">
        <v>77</v>
      </c>
      <c r="C20" s="13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100</v>
      </c>
      <c r="W20" s="14">
        <v>50</v>
      </c>
      <c r="X20" s="14">
        <v>0</v>
      </c>
      <c r="Y20" s="14">
        <v>0</v>
      </c>
      <c r="Z20" s="14">
        <v>100</v>
      </c>
      <c r="AA20" s="14">
        <v>0</v>
      </c>
      <c r="AB20" s="14">
        <v>0</v>
      </c>
      <c r="AC20" s="14">
        <v>0</v>
      </c>
      <c r="AD20" s="14">
        <v>100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100</v>
      </c>
      <c r="AN20" s="14">
        <v>0</v>
      </c>
      <c r="AO20" s="14">
        <v>0</v>
      </c>
      <c r="AP20" s="14">
        <v>100</v>
      </c>
      <c r="AQ20" s="14">
        <v>0</v>
      </c>
      <c r="AR20" s="14">
        <v>0</v>
      </c>
      <c r="AS20" s="14">
        <v>0</v>
      </c>
      <c r="AT20" s="14">
        <v>0</v>
      </c>
      <c r="AU20" s="15" t="str" cm="1">
        <f t="array" ref="AU20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0" s="14" t="str" cm="1">
        <f t="array" ref="AV20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0" s="14" t="str" cm="1">
        <f t="array" ref="AW20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0" s="14" t="str" cm="1">
        <f t="array" ref="AX20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0" s="14" t="str" cm="1">
        <f t="array" ref="AY20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0" s="14" t="str" cm="1">
        <f t="array" ref="AZ20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0" s="14" t="str" cm="1">
        <f t="array" ref="BA20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0" s="14" t="str" cm="1">
        <f t="array" ref="BB20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0" s="14" t="str" cm="1">
        <f t="array" ref="BC20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0" s="14" t="str" cm="1">
        <f t="array" ref="BD20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0" s="14" t="str" cm="1">
        <f t="array" ref="BE20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0" s="14" t="str" cm="1">
        <f t="array" ref="BF20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0" s="14" t="str" cm="1">
        <f t="array" ref="BG20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20" s="14" t="str" cm="1">
        <f t="array" ref="BH20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0" s="14" t="str" cm="1">
        <f t="array" ref="BI20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0" s="14" t="str" cm="1">
        <f t="array" ref="BJ20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0" s="14" t="str" cm="1">
        <f t="array" ref="BK20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0" s="14" t="str" cm="1">
        <f t="array" ref="BL20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0" s="14" t="str" cm="1">
        <f t="array" ref="BM20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"M1037"-&gt;"A00017":("1.0", 100, TRUE);</v>
      </c>
      <c r="BN20" s="14" t="str" cm="1">
        <f t="array" ref="BN20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"M1035"-&gt;"A00017":("1.0", 50, TRUE);</v>
      </c>
      <c r="BO20" s="14" t="str" cm="1">
        <f t="array" ref="BO20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0" s="14" t="str" cm="1">
        <f t="array" ref="BP20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0" s="14" t="str" cm="1">
        <f t="array" ref="BQ20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"M1032"-&gt;"A00017":("1.0", 100, TRUE);</v>
      </c>
      <c r="BR20" s="14" t="str" cm="1">
        <f t="array" ref="BR20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0" s="14" t="str" cm="1">
        <f t="array" ref="BS20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0" s="14" t="str" cm="1">
        <f t="array" ref="BT20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0" s="14" t="str" cm="1">
        <f t="array" ref="BU20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"M1027"-&gt;"A00017":("1.0", 100, TRUE);</v>
      </c>
      <c r="BV20" s="14" t="str" cm="1">
        <f t="array" ref="BV20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0" s="14" t="str" cm="1">
        <f t="array" ref="BW20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0" s="14" t="str" cm="1">
        <f t="array" ref="BX20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0" s="14" t="str" cm="1">
        <f t="array" ref="BY20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0" s="14" t="str" cm="1">
        <f t="array" ref="BZ20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0" s="14" t="str" cm="1">
        <f t="array" ref="CA20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0" s="14" t="str" cm="1">
        <f t="array" ref="CB20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0" s="14" t="str" cm="1">
        <f t="array" ref="CC20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0" s="14" t="str" cm="1">
        <f t="array" ref="CD20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"M1020"-&gt;"A00017":("1.0", 100, TRUE);</v>
      </c>
      <c r="CE20" s="14" t="str" cm="1">
        <f t="array" ref="CE20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0" s="14" t="str" cm="1">
        <f t="array" ref="CF20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0" s="14" t="str" cm="1">
        <f t="array" ref="CG20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"M1051"-&gt;"A00017":("1.0", 100, TRUE);</v>
      </c>
      <c r="CH20" s="14" t="str" cm="1">
        <f t="array" ref="CH20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0" s="14" t="str" cm="1">
        <f t="array" ref="CI20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0" s="14" t="str" cm="1">
        <f t="array" ref="CJ20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0" s="14" t="str" cm="1">
        <f t="array" ref="CK20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1" spans="2:89" x14ac:dyDescent="0.2">
      <c r="B21" s="13" t="s">
        <v>78</v>
      </c>
      <c r="C21" s="13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100</v>
      </c>
      <c r="W21" s="14">
        <v>100</v>
      </c>
      <c r="X21" s="14">
        <v>0</v>
      </c>
      <c r="Y21" s="14">
        <v>0</v>
      </c>
      <c r="Z21" s="14">
        <v>100</v>
      </c>
      <c r="AA21" s="14">
        <v>0</v>
      </c>
      <c r="AB21" s="14">
        <v>0</v>
      </c>
      <c r="AC21" s="14">
        <v>0</v>
      </c>
      <c r="AD21" s="14">
        <v>100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100</v>
      </c>
      <c r="AN21" s="14">
        <v>0</v>
      </c>
      <c r="AO21" s="14">
        <v>0</v>
      </c>
      <c r="AP21" s="14">
        <v>100</v>
      </c>
      <c r="AQ21" s="14">
        <v>0</v>
      </c>
      <c r="AR21" s="14">
        <v>0</v>
      </c>
      <c r="AS21" s="14">
        <v>0</v>
      </c>
      <c r="AT21" s="14">
        <v>0</v>
      </c>
      <c r="AU21" s="15" t="str" cm="1">
        <f t="array" ref="AU21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1" s="14" t="str" cm="1">
        <f t="array" ref="AV21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1" s="14" t="str" cm="1">
        <f t="array" ref="AW21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1" s="14" t="str" cm="1">
        <f t="array" ref="AX21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1" s="14" t="str" cm="1">
        <f t="array" ref="AY21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1" s="14" t="str" cm="1">
        <f t="array" ref="AZ21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1" s="14" t="str" cm="1">
        <f t="array" ref="BA21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1" s="14" t="str" cm="1">
        <f t="array" ref="BB21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1" s="14" t="str" cm="1">
        <f t="array" ref="BC21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1" s="14" t="str" cm="1">
        <f t="array" ref="BD21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1" s="14" t="str" cm="1">
        <f t="array" ref="BE21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1" s="14" t="str" cm="1">
        <f t="array" ref="BF21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1" s="14" t="str" cm="1">
        <f t="array" ref="BG21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21" s="14" t="str" cm="1">
        <f t="array" ref="BH21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1" s="14" t="str" cm="1">
        <f t="array" ref="BI21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1" s="14" t="str" cm="1">
        <f t="array" ref="BJ21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1" s="14" t="str" cm="1">
        <f t="array" ref="BK21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1" s="14" t="str" cm="1">
        <f t="array" ref="BL21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1" s="14" t="str" cm="1">
        <f t="array" ref="BM21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"M1037"-&gt;"A00018":("1.0", 100, TRUE);</v>
      </c>
      <c r="BN21" s="14" t="str" cm="1">
        <f t="array" ref="BN21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"M1035"-&gt;"A00018":("1.0", 100, TRUE);</v>
      </c>
      <c r="BO21" s="14" t="str" cm="1">
        <f t="array" ref="BO21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1" s="14" t="str" cm="1">
        <f t="array" ref="BP21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1" s="14" t="str" cm="1">
        <f t="array" ref="BQ21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"M1032"-&gt;"A00018":("1.0", 100, TRUE);</v>
      </c>
      <c r="BR21" s="14" t="str" cm="1">
        <f t="array" ref="BR21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1" s="14" t="str" cm="1">
        <f t="array" ref="BS21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1" s="14" t="str" cm="1">
        <f t="array" ref="BT21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1" s="14" t="str" cm="1">
        <f t="array" ref="BU21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"M1027"-&gt;"A00018":("1.0", 100, TRUE);</v>
      </c>
      <c r="BV21" s="14" t="str" cm="1">
        <f t="array" ref="BV21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1" s="14" t="str" cm="1">
        <f t="array" ref="BW21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1" s="14" t="str" cm="1">
        <f t="array" ref="BX21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1" s="14" t="str" cm="1">
        <f t="array" ref="BY21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1" s="14" t="str" cm="1">
        <f t="array" ref="BZ21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1" s="14" t="str" cm="1">
        <f t="array" ref="CA21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1" s="14" t="str" cm="1">
        <f t="array" ref="CB21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1" s="14" t="str" cm="1">
        <f t="array" ref="CC21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1" s="14" t="str" cm="1">
        <f t="array" ref="CD21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"M1020"-&gt;"A00018":("1.0", 100, TRUE);</v>
      </c>
      <c r="CE21" s="14" t="str" cm="1">
        <f t="array" ref="CE21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1" s="14" t="str" cm="1">
        <f t="array" ref="CF21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1" s="14" t="str" cm="1">
        <f t="array" ref="CG21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"M1051"-&gt;"A00018":("1.0", 100, TRUE);</v>
      </c>
      <c r="CH21" s="14" t="str" cm="1">
        <f t="array" ref="CH21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1" s="14" t="str" cm="1">
        <f t="array" ref="CI21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1" s="14" t="str" cm="1">
        <f t="array" ref="CJ21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1" s="14" t="str" cm="1">
        <f t="array" ref="CK21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2" spans="2:89" x14ac:dyDescent="0.2">
      <c r="B22" s="13" t="s">
        <v>79</v>
      </c>
      <c r="C22" s="13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100</v>
      </c>
      <c r="W22" s="14">
        <v>100</v>
      </c>
      <c r="X22" s="14">
        <v>0</v>
      </c>
      <c r="Y22" s="14">
        <v>0</v>
      </c>
      <c r="Z22" s="14">
        <v>100</v>
      </c>
      <c r="AA22" s="14">
        <v>0</v>
      </c>
      <c r="AB22" s="14">
        <v>0</v>
      </c>
      <c r="AC22" s="14">
        <v>0</v>
      </c>
      <c r="AD22" s="14">
        <v>100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100</v>
      </c>
      <c r="AN22" s="14">
        <v>0</v>
      </c>
      <c r="AO22" s="14">
        <v>0</v>
      </c>
      <c r="AP22" s="14">
        <v>100</v>
      </c>
      <c r="AQ22" s="14">
        <v>0</v>
      </c>
      <c r="AR22" s="14">
        <v>0</v>
      </c>
      <c r="AS22" s="14">
        <v>0</v>
      </c>
      <c r="AT22" s="14">
        <v>0</v>
      </c>
      <c r="AU22" s="15" t="str" cm="1">
        <f t="array" ref="AU22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2" s="14" t="str" cm="1">
        <f t="array" ref="AV22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2" s="14" t="str" cm="1">
        <f t="array" ref="AW22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2" s="14" t="str" cm="1">
        <f t="array" ref="AX22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2" s="14" t="str" cm="1">
        <f t="array" ref="AY22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2" s="14" t="str" cm="1">
        <f t="array" ref="AZ22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2" s="14" t="str" cm="1">
        <f t="array" ref="BA22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2" s="14" t="str" cm="1">
        <f t="array" ref="BB22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2" s="14" t="str" cm="1">
        <f t="array" ref="BC22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2" s="14" t="str" cm="1">
        <f t="array" ref="BD22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2" s="14" t="str" cm="1">
        <f t="array" ref="BE22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2" s="14" t="str" cm="1">
        <f t="array" ref="BF22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2" s="14" t="str" cm="1">
        <f t="array" ref="BG22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22" s="14" t="str" cm="1">
        <f t="array" ref="BH22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2" s="14" t="str" cm="1">
        <f t="array" ref="BI22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2" s="14" t="str" cm="1">
        <f t="array" ref="BJ22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2" s="14" t="str" cm="1">
        <f t="array" ref="BK22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2" s="14" t="str" cm="1">
        <f t="array" ref="BL22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2" s="14" t="str" cm="1">
        <f t="array" ref="BM22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"M1037"-&gt;"A00019":("1.0", 100, TRUE);</v>
      </c>
      <c r="BN22" s="14" t="str" cm="1">
        <f t="array" ref="BN22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"M1035"-&gt;"A00019":("1.0", 100, TRUE);</v>
      </c>
      <c r="BO22" s="14" t="str" cm="1">
        <f t="array" ref="BO22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2" s="14" t="str" cm="1">
        <f t="array" ref="BP22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2" s="14" t="str" cm="1">
        <f t="array" ref="BQ22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"M1032"-&gt;"A00019":("1.0", 100, TRUE);</v>
      </c>
      <c r="BR22" s="14" t="str" cm="1">
        <f t="array" ref="BR22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2" s="14" t="str" cm="1">
        <f t="array" ref="BS22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2" s="14" t="str" cm="1">
        <f t="array" ref="BT22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2" s="14" t="str" cm="1">
        <f t="array" ref="BU22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"M1027"-&gt;"A00019":("1.0", 100, TRUE);</v>
      </c>
      <c r="BV22" s="14" t="str" cm="1">
        <f t="array" ref="BV22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2" s="14" t="str" cm="1">
        <f t="array" ref="BW22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2" s="14" t="str" cm="1">
        <f t="array" ref="BX22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2" s="14" t="str" cm="1">
        <f t="array" ref="BY22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2" s="14" t="str" cm="1">
        <f t="array" ref="BZ22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2" s="14" t="str" cm="1">
        <f t="array" ref="CA22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2" s="14" t="str" cm="1">
        <f t="array" ref="CB22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2" s="14" t="str" cm="1">
        <f t="array" ref="CC22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2" s="14" t="str" cm="1">
        <f t="array" ref="CD22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"M1020"-&gt;"A00019":("1.0", 100, TRUE);</v>
      </c>
      <c r="CE22" s="14" t="str" cm="1">
        <f t="array" ref="CE22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2" s="14" t="str" cm="1">
        <f t="array" ref="CF22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2" s="14" t="str" cm="1">
        <f t="array" ref="CG22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"M1051"-&gt;"A00019":("1.0", 100, TRUE);</v>
      </c>
      <c r="CH22" s="14" t="str" cm="1">
        <f t="array" ref="CH22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2" s="14" t="str" cm="1">
        <f t="array" ref="CI22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2" s="14" t="str" cm="1">
        <f t="array" ref="CJ22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2" s="14" t="str" cm="1">
        <f t="array" ref="CK22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3" spans="2:89" x14ac:dyDescent="0.2">
      <c r="B23" s="13" t="s">
        <v>80</v>
      </c>
      <c r="C23" s="13" t="s">
        <v>29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100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100</v>
      </c>
      <c r="W23" s="14">
        <v>100</v>
      </c>
      <c r="X23" s="14">
        <v>0</v>
      </c>
      <c r="Y23" s="14">
        <v>0</v>
      </c>
      <c r="Z23" s="14">
        <v>100</v>
      </c>
      <c r="AA23" s="14">
        <v>0</v>
      </c>
      <c r="AB23" s="14">
        <v>0</v>
      </c>
      <c r="AC23" s="14">
        <v>0</v>
      </c>
      <c r="AD23" s="14">
        <v>100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100</v>
      </c>
      <c r="AN23" s="14">
        <v>0</v>
      </c>
      <c r="AO23" s="14">
        <v>0</v>
      </c>
      <c r="AP23" s="14">
        <v>100</v>
      </c>
      <c r="AQ23" s="14">
        <v>0</v>
      </c>
      <c r="AR23" s="14">
        <v>0</v>
      </c>
      <c r="AS23" s="14">
        <v>0</v>
      </c>
      <c r="AT23" s="14">
        <v>0</v>
      </c>
      <c r="AU23" s="15" t="str" cm="1">
        <f t="array" ref="AU23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3" s="14" t="str" cm="1">
        <f t="array" ref="AV23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3" s="14" t="str" cm="1">
        <f t="array" ref="AW23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3" s="14" t="str" cm="1">
        <f t="array" ref="AX23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3" s="14" t="str" cm="1">
        <f t="array" ref="AY23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3" s="14" t="str" cm="1">
        <f t="array" ref="AZ23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3" s="14" t="str" cm="1">
        <f t="array" ref="BA23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3" s="14" t="str" cm="1">
        <f t="array" ref="BB23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3" s="14" t="str" cm="1">
        <f t="array" ref="BC23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3" s="14" t="str" cm="1">
        <f t="array" ref="BD23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3" s="14" t="str" cm="1">
        <f t="array" ref="BE23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3" s="14" t="str" cm="1">
        <f t="array" ref="BF23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3" s="14" t="str" cm="1">
        <f t="array" ref="BG23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>INSERT EDGE IF NOT EXISTS applied_to(Version, Maturity, Active) VALUES "M1042"-&gt;"A00020":("1.0", 100, TRUE);</v>
      </c>
      <c r="BH23" s="14" t="str" cm="1">
        <f t="array" ref="BH23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3" s="14" t="str" cm="1">
        <f t="array" ref="BI23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3" s="14" t="str" cm="1">
        <f t="array" ref="BJ23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3" s="14" t="str" cm="1">
        <f t="array" ref="BK23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3" s="14" t="str" cm="1">
        <f t="array" ref="BL23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3" s="14" t="str" cm="1">
        <f t="array" ref="BM23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"M1037"-&gt;"A00020":("1.0", 100, TRUE);</v>
      </c>
      <c r="BN23" s="14" t="str" cm="1">
        <f t="array" ref="BN23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"M1035"-&gt;"A00020":("1.0", 100, TRUE);</v>
      </c>
      <c r="BO23" s="14" t="str" cm="1">
        <f t="array" ref="BO23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3" s="14" t="str" cm="1">
        <f t="array" ref="BP23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3" s="14" t="str" cm="1">
        <f t="array" ref="BQ23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"M1032"-&gt;"A00020":("1.0", 100, TRUE);</v>
      </c>
      <c r="BR23" s="14" t="str" cm="1">
        <f t="array" ref="BR23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3" s="14" t="str" cm="1">
        <f t="array" ref="BS23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3" s="14" t="str" cm="1">
        <f t="array" ref="BT23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3" s="14" t="str" cm="1">
        <f t="array" ref="BU23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"M1027"-&gt;"A00020":("1.0", 100, TRUE);</v>
      </c>
      <c r="BV23" s="14" t="str" cm="1">
        <f t="array" ref="BV23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3" s="14" t="str" cm="1">
        <f t="array" ref="BW23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3" s="14" t="str" cm="1">
        <f t="array" ref="BX23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3" s="14" t="str" cm="1">
        <f t="array" ref="BY23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3" s="14" t="str" cm="1">
        <f t="array" ref="BZ23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3" s="14" t="str" cm="1">
        <f t="array" ref="CA23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3" s="14" t="str" cm="1">
        <f t="array" ref="CB23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3" s="14" t="str" cm="1">
        <f t="array" ref="CC23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3" s="14" t="str" cm="1">
        <f t="array" ref="CD23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"M1020"-&gt;"A00020":("1.0", 100, TRUE);</v>
      </c>
      <c r="CE23" s="14" t="str" cm="1">
        <f t="array" ref="CE23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3" s="14" t="str" cm="1">
        <f t="array" ref="CF23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3" s="14" t="str" cm="1">
        <f t="array" ref="CG23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"M1051"-&gt;"A00020":("1.0", 100, TRUE);</v>
      </c>
      <c r="CH23" s="14" t="str" cm="1">
        <f t="array" ref="CH23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3" s="14" t="str" cm="1">
        <f t="array" ref="CI23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3" s="14" t="str" cm="1">
        <f t="array" ref="CJ23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3" s="14" t="str" cm="1">
        <f t="array" ref="CK23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4" spans="2:89" x14ac:dyDescent="0.2">
      <c r="B24" s="13" t="s">
        <v>81</v>
      </c>
      <c r="C24" s="13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100</v>
      </c>
      <c r="W24" s="14">
        <v>50</v>
      </c>
      <c r="X24" s="14">
        <v>0</v>
      </c>
      <c r="Y24" s="14">
        <v>0</v>
      </c>
      <c r="Z24" s="14">
        <v>100</v>
      </c>
      <c r="AA24" s="14">
        <v>0</v>
      </c>
      <c r="AB24" s="14">
        <v>0</v>
      </c>
      <c r="AC24" s="14">
        <v>0</v>
      </c>
      <c r="AD24" s="14">
        <v>100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100</v>
      </c>
      <c r="AN24" s="14">
        <v>0</v>
      </c>
      <c r="AO24" s="14">
        <v>0</v>
      </c>
      <c r="AP24" s="14">
        <v>100</v>
      </c>
      <c r="AQ24" s="14">
        <v>0</v>
      </c>
      <c r="AR24" s="14">
        <v>0</v>
      </c>
      <c r="AS24" s="14">
        <v>0</v>
      </c>
      <c r="AT24" s="14">
        <v>0</v>
      </c>
      <c r="AU24" s="15" t="str" cm="1">
        <f t="array" ref="AU24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4" s="14" t="str" cm="1">
        <f t="array" ref="AV24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4" s="14" t="str" cm="1">
        <f t="array" ref="AW24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4" s="14" t="str" cm="1">
        <f t="array" ref="AX24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4" s="14" t="str" cm="1">
        <f t="array" ref="AY24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4" s="14" t="str" cm="1">
        <f t="array" ref="AZ24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4" s="14" t="str" cm="1">
        <f t="array" ref="BA24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4" s="14" t="str" cm="1">
        <f t="array" ref="BB24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4" s="14" t="str" cm="1">
        <f t="array" ref="BC24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4" s="14" t="str" cm="1">
        <f t="array" ref="BD24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4" s="14" t="str" cm="1">
        <f t="array" ref="BE24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4" s="14" t="str" cm="1">
        <f t="array" ref="BF24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4" s="14" t="str" cm="1">
        <f t="array" ref="BG24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24" s="14" t="str" cm="1">
        <f t="array" ref="BH24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4" s="14" t="str" cm="1">
        <f t="array" ref="BI24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4" s="14" t="str" cm="1">
        <f t="array" ref="BJ24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4" s="14" t="str" cm="1">
        <f t="array" ref="BK24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4" s="14" t="str" cm="1">
        <f t="array" ref="BL24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4" s="14" t="str" cm="1">
        <f t="array" ref="BM24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"M1037"-&gt;"A00021":("1.0", 100, TRUE);</v>
      </c>
      <c r="BN24" s="14" t="str" cm="1">
        <f t="array" ref="BN24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"M1035"-&gt;"A00021":("1.0", 50, TRUE);</v>
      </c>
      <c r="BO24" s="14" t="str" cm="1">
        <f t="array" ref="BO24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4" s="14" t="str" cm="1">
        <f t="array" ref="BP24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4" s="14" t="str" cm="1">
        <f t="array" ref="BQ24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"M1032"-&gt;"A00021":("1.0", 100, TRUE);</v>
      </c>
      <c r="BR24" s="14" t="str" cm="1">
        <f t="array" ref="BR24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4" s="14" t="str" cm="1">
        <f t="array" ref="BS24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4" s="14" t="str" cm="1">
        <f t="array" ref="BT24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4" s="14" t="str" cm="1">
        <f t="array" ref="BU24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"M1027"-&gt;"A00021":("1.0", 100, TRUE);</v>
      </c>
      <c r="BV24" s="14" t="str" cm="1">
        <f t="array" ref="BV24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4" s="14" t="str" cm="1">
        <f t="array" ref="BW24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4" s="14" t="str" cm="1">
        <f t="array" ref="BX24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4" s="14" t="str" cm="1">
        <f t="array" ref="BY24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4" s="14" t="str" cm="1">
        <f t="array" ref="BZ24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4" s="14" t="str" cm="1">
        <f t="array" ref="CA24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4" s="14" t="str" cm="1">
        <f t="array" ref="CB24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4" s="14" t="str" cm="1">
        <f t="array" ref="CC24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4" s="14" t="str" cm="1">
        <f t="array" ref="CD24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"M1020"-&gt;"A00021":("1.0", 100, TRUE);</v>
      </c>
      <c r="CE24" s="14" t="str" cm="1">
        <f t="array" ref="CE24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4" s="14" t="str" cm="1">
        <f t="array" ref="CF24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4" s="14" t="str" cm="1">
        <f t="array" ref="CG24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"M1051"-&gt;"A00021":("1.0", 100, TRUE);</v>
      </c>
      <c r="CH24" s="14" t="str" cm="1">
        <f t="array" ref="CH24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4" s="14" t="str" cm="1">
        <f t="array" ref="CI24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4" s="14" t="str" cm="1">
        <f t="array" ref="CJ24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4" s="14" t="str" cm="1">
        <f t="array" ref="CK24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5" spans="2:89" x14ac:dyDescent="0.2">
      <c r="B25" s="13" t="s">
        <v>82</v>
      </c>
      <c r="C25" s="13" t="s">
        <v>31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100</v>
      </c>
      <c r="W25" s="14">
        <v>50</v>
      </c>
      <c r="X25" s="14">
        <v>0</v>
      </c>
      <c r="Y25" s="14">
        <v>0</v>
      </c>
      <c r="Z25" s="14">
        <v>100</v>
      </c>
      <c r="AA25" s="14">
        <v>0</v>
      </c>
      <c r="AB25" s="14">
        <v>0</v>
      </c>
      <c r="AC25" s="14">
        <v>0</v>
      </c>
      <c r="AD25" s="14">
        <v>100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100</v>
      </c>
      <c r="AN25" s="14">
        <v>0</v>
      </c>
      <c r="AO25" s="14">
        <v>0</v>
      </c>
      <c r="AP25" s="14">
        <v>100</v>
      </c>
      <c r="AQ25" s="14">
        <v>0</v>
      </c>
      <c r="AR25" s="14">
        <v>0</v>
      </c>
      <c r="AS25" s="14">
        <v>0</v>
      </c>
      <c r="AT25" s="14">
        <v>0</v>
      </c>
      <c r="AU25" s="15" t="str" cm="1">
        <f t="array" ref="AU25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5" s="14" t="str" cm="1">
        <f t="array" ref="AV25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5" s="14" t="str" cm="1">
        <f t="array" ref="AW25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5" s="14" t="str" cm="1">
        <f t="array" ref="AX25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5" s="14" t="str" cm="1">
        <f t="array" ref="AY25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5" s="14" t="str" cm="1">
        <f t="array" ref="AZ25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5" s="14" t="str" cm="1">
        <f t="array" ref="BA25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5" s="14" t="str" cm="1">
        <f t="array" ref="BB25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5" s="14" t="str" cm="1">
        <f t="array" ref="BC25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5" s="14" t="str" cm="1">
        <f t="array" ref="BD25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5" s="14" t="str" cm="1">
        <f t="array" ref="BE25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5" s="14" t="str" cm="1">
        <f t="array" ref="BF25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5" s="14" t="str" cm="1">
        <f t="array" ref="BG25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25" s="14" t="str" cm="1">
        <f t="array" ref="BH25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5" s="14" t="str" cm="1">
        <f t="array" ref="BI25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5" s="14" t="str" cm="1">
        <f t="array" ref="BJ25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5" s="14" t="str" cm="1">
        <f t="array" ref="BK25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5" s="14" t="str" cm="1">
        <f t="array" ref="BL25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5" s="14" t="str" cm="1">
        <f t="array" ref="BM25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"M1037"-&gt;"A00022":("1.0", 100, TRUE);</v>
      </c>
      <c r="BN25" s="14" t="str" cm="1">
        <f t="array" ref="BN25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"M1035"-&gt;"A00022":("1.0", 50, TRUE);</v>
      </c>
      <c r="BO25" s="14" t="str" cm="1">
        <f t="array" ref="BO25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5" s="14" t="str" cm="1">
        <f t="array" ref="BP25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5" s="14" t="str" cm="1">
        <f t="array" ref="BQ25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"M1032"-&gt;"A00022":("1.0", 100, TRUE);</v>
      </c>
      <c r="BR25" s="14" t="str" cm="1">
        <f t="array" ref="BR25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5" s="14" t="str" cm="1">
        <f t="array" ref="BS25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5" s="14" t="str" cm="1">
        <f t="array" ref="BT25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5" s="14" t="str" cm="1">
        <f t="array" ref="BU25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"M1027"-&gt;"A00022":("1.0", 100, TRUE);</v>
      </c>
      <c r="BV25" s="14" t="str" cm="1">
        <f t="array" ref="BV25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5" s="14" t="str" cm="1">
        <f t="array" ref="BW25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5" s="14" t="str" cm="1">
        <f t="array" ref="BX25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5" s="14" t="str" cm="1">
        <f t="array" ref="BY25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5" s="14" t="str" cm="1">
        <f t="array" ref="BZ25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5" s="14" t="str" cm="1">
        <f t="array" ref="CA25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5" s="14" t="str" cm="1">
        <f t="array" ref="CB25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5" s="14" t="str" cm="1">
        <f t="array" ref="CC25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5" s="14" t="str" cm="1">
        <f t="array" ref="CD25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"M1020"-&gt;"A00022":("1.0", 100, TRUE);</v>
      </c>
      <c r="CE25" s="14" t="str" cm="1">
        <f t="array" ref="CE25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5" s="14" t="str" cm="1">
        <f t="array" ref="CF25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5" s="14" t="str" cm="1">
        <f t="array" ref="CG25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"M1051"-&gt;"A00022":("1.0", 100, TRUE);</v>
      </c>
      <c r="CH25" s="14" t="str" cm="1">
        <f t="array" ref="CH25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5" s="14" t="str" cm="1">
        <f t="array" ref="CI25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5" s="14" t="str" cm="1">
        <f t="array" ref="CJ25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5" s="14" t="str" cm="1">
        <f t="array" ref="CK25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6" spans="2:89" x14ac:dyDescent="0.2">
      <c r="B26" s="13" t="s">
        <v>83</v>
      </c>
      <c r="C26" s="13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100</v>
      </c>
      <c r="W26" s="14">
        <v>50</v>
      </c>
      <c r="X26" s="14">
        <v>0</v>
      </c>
      <c r="Y26" s="14">
        <v>0</v>
      </c>
      <c r="Z26" s="14">
        <v>100</v>
      </c>
      <c r="AA26" s="14">
        <v>0</v>
      </c>
      <c r="AB26" s="14">
        <v>0</v>
      </c>
      <c r="AC26" s="14">
        <v>0</v>
      </c>
      <c r="AD26" s="14">
        <v>100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100</v>
      </c>
      <c r="AN26" s="14">
        <v>0</v>
      </c>
      <c r="AO26" s="14">
        <v>0</v>
      </c>
      <c r="AP26" s="14">
        <v>100</v>
      </c>
      <c r="AQ26" s="14">
        <v>0</v>
      </c>
      <c r="AR26" s="14">
        <v>0</v>
      </c>
      <c r="AS26" s="14">
        <v>0</v>
      </c>
      <c r="AT26" s="14">
        <v>0</v>
      </c>
      <c r="AU26" s="15" t="str" cm="1">
        <f t="array" ref="AU26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6" s="14" t="str" cm="1">
        <f t="array" ref="AV26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6" s="14" t="str" cm="1">
        <f t="array" ref="AW26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6" s="14" t="str" cm="1">
        <f t="array" ref="AX26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6" s="14" t="str" cm="1">
        <f t="array" ref="AY26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6" s="14" t="str" cm="1">
        <f t="array" ref="AZ26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6" s="14" t="str" cm="1">
        <f t="array" ref="BA26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6" s="14" t="str" cm="1">
        <f t="array" ref="BB26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6" s="14" t="str" cm="1">
        <f t="array" ref="BC26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6" s="14" t="str" cm="1">
        <f t="array" ref="BD26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6" s="14" t="str" cm="1">
        <f t="array" ref="BE26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6" s="14" t="str" cm="1">
        <f t="array" ref="BF26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6" s="14" t="str" cm="1">
        <f t="array" ref="BG26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26" s="14" t="str" cm="1">
        <f t="array" ref="BH26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6" s="14" t="str" cm="1">
        <f t="array" ref="BI26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6" s="14" t="str" cm="1">
        <f t="array" ref="BJ26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6" s="14" t="str" cm="1">
        <f t="array" ref="BK26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6" s="14" t="str" cm="1">
        <f t="array" ref="BL26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6" s="14" t="str" cm="1">
        <f t="array" ref="BM26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"M1037"-&gt;"A00023":("1.0", 100, TRUE);</v>
      </c>
      <c r="BN26" s="14" t="str" cm="1">
        <f t="array" ref="BN26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"M1035"-&gt;"A00023":("1.0", 50, TRUE);</v>
      </c>
      <c r="BO26" s="14" t="str" cm="1">
        <f t="array" ref="BO26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6" s="14" t="str" cm="1">
        <f t="array" ref="BP26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6" s="14" t="str" cm="1">
        <f t="array" ref="BQ26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"M1032"-&gt;"A00023":("1.0", 100, TRUE);</v>
      </c>
      <c r="BR26" s="14" t="str" cm="1">
        <f t="array" ref="BR26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6" s="14" t="str" cm="1">
        <f t="array" ref="BS26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6" s="14" t="str" cm="1">
        <f t="array" ref="BT26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6" s="14" t="str" cm="1">
        <f t="array" ref="BU26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"M1027"-&gt;"A00023":("1.0", 100, TRUE);</v>
      </c>
      <c r="BV26" s="14" t="str" cm="1">
        <f t="array" ref="BV26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6" s="14" t="str" cm="1">
        <f t="array" ref="BW26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6" s="14" t="str" cm="1">
        <f t="array" ref="BX26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6" s="14" t="str" cm="1">
        <f t="array" ref="BY26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6" s="14" t="str" cm="1">
        <f t="array" ref="BZ26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6" s="14" t="str" cm="1">
        <f t="array" ref="CA26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6" s="14" t="str" cm="1">
        <f t="array" ref="CB26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6" s="14" t="str" cm="1">
        <f t="array" ref="CC26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6" s="14" t="str" cm="1">
        <f t="array" ref="CD26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"M1020"-&gt;"A00023":("1.0", 100, TRUE);</v>
      </c>
      <c r="CE26" s="14" t="str" cm="1">
        <f t="array" ref="CE26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6" s="14" t="str" cm="1">
        <f t="array" ref="CF26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6" s="14" t="str" cm="1">
        <f t="array" ref="CG26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"M1051"-&gt;"A00023":("1.0", 100, TRUE);</v>
      </c>
      <c r="CH26" s="14" t="str" cm="1">
        <f t="array" ref="CH26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6" s="14" t="str" cm="1">
        <f t="array" ref="CI26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6" s="14" t="str" cm="1">
        <f t="array" ref="CJ26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6" s="14" t="str" cm="1">
        <f t="array" ref="CK26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7" spans="2:89" x14ac:dyDescent="0.2">
      <c r="B27" s="13" t="s">
        <v>84</v>
      </c>
      <c r="C27" s="13" t="s">
        <v>33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100</v>
      </c>
      <c r="W27" s="14">
        <v>50</v>
      </c>
      <c r="X27" s="14">
        <v>0</v>
      </c>
      <c r="Y27" s="14">
        <v>0</v>
      </c>
      <c r="Z27" s="14">
        <v>100</v>
      </c>
      <c r="AA27" s="14">
        <v>0</v>
      </c>
      <c r="AB27" s="14">
        <v>0</v>
      </c>
      <c r="AC27" s="14">
        <v>0</v>
      </c>
      <c r="AD27" s="14">
        <v>100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100</v>
      </c>
      <c r="AN27" s="14">
        <v>0</v>
      </c>
      <c r="AO27" s="14">
        <v>0</v>
      </c>
      <c r="AP27" s="14">
        <v>100</v>
      </c>
      <c r="AQ27" s="14">
        <v>0</v>
      </c>
      <c r="AR27" s="14">
        <v>0</v>
      </c>
      <c r="AS27" s="14">
        <v>0</v>
      </c>
      <c r="AT27" s="14">
        <v>0</v>
      </c>
      <c r="AU27" s="15" t="str" cm="1">
        <f t="array" ref="AU27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7" s="14" t="str" cm="1">
        <f t="array" ref="AV27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7" s="14" t="str" cm="1">
        <f t="array" ref="AW27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7" s="14" t="str" cm="1">
        <f t="array" ref="AX27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7" s="14" t="str" cm="1">
        <f t="array" ref="AY27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7" s="14" t="str" cm="1">
        <f t="array" ref="AZ27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7" s="14" t="str" cm="1">
        <f t="array" ref="BA27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7" s="14" t="str" cm="1">
        <f t="array" ref="BB27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7" s="14" t="str" cm="1">
        <f t="array" ref="BC27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7" s="14" t="str" cm="1">
        <f t="array" ref="BD27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7" s="14" t="str" cm="1">
        <f t="array" ref="BE27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7" s="14" t="str" cm="1">
        <f t="array" ref="BF27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7" s="14" t="str" cm="1">
        <f t="array" ref="BG27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27" s="14" t="str" cm="1">
        <f t="array" ref="BH27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7" s="14" t="str" cm="1">
        <f t="array" ref="BI27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7" s="14" t="str" cm="1">
        <f t="array" ref="BJ27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7" s="14" t="str" cm="1">
        <f t="array" ref="BK27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7" s="14" t="str" cm="1">
        <f t="array" ref="BL27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7" s="14" t="str" cm="1">
        <f t="array" ref="BM27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"M1037"-&gt;"A00024":("1.0", 100, TRUE);</v>
      </c>
      <c r="BN27" s="14" t="str" cm="1">
        <f t="array" ref="BN27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"M1035"-&gt;"A00024":("1.0", 50, TRUE);</v>
      </c>
      <c r="BO27" s="14" t="str" cm="1">
        <f t="array" ref="BO27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7" s="14" t="str" cm="1">
        <f t="array" ref="BP27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7" s="14" t="str" cm="1">
        <f t="array" ref="BQ27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"M1032"-&gt;"A00024":("1.0", 100, TRUE);</v>
      </c>
      <c r="BR27" s="14" t="str" cm="1">
        <f t="array" ref="BR27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7" s="14" t="str" cm="1">
        <f t="array" ref="BS27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7" s="14" t="str" cm="1">
        <f t="array" ref="BT27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7" s="14" t="str" cm="1">
        <f t="array" ref="BU27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"M1027"-&gt;"A00024":("1.0", 100, TRUE);</v>
      </c>
      <c r="BV27" s="14" t="str" cm="1">
        <f t="array" ref="BV27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7" s="14" t="str" cm="1">
        <f t="array" ref="BW27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7" s="14" t="str" cm="1">
        <f t="array" ref="BX27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7" s="14" t="str" cm="1">
        <f t="array" ref="BY27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7" s="14" t="str" cm="1">
        <f t="array" ref="BZ27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7" s="14" t="str" cm="1">
        <f t="array" ref="CA27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7" s="14" t="str" cm="1">
        <f t="array" ref="CB27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7" s="14" t="str" cm="1">
        <f t="array" ref="CC27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7" s="14" t="str" cm="1">
        <f t="array" ref="CD27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"M1020"-&gt;"A00024":("1.0", 100, TRUE);</v>
      </c>
      <c r="CE27" s="14" t="str" cm="1">
        <f t="array" ref="CE27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7" s="14" t="str" cm="1">
        <f t="array" ref="CF27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7" s="14" t="str" cm="1">
        <f t="array" ref="CG27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"M1051"-&gt;"A00024":("1.0", 100, TRUE);</v>
      </c>
      <c r="CH27" s="14" t="str" cm="1">
        <f t="array" ref="CH27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7" s="14" t="str" cm="1">
        <f t="array" ref="CI27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7" s="14" t="str" cm="1">
        <f t="array" ref="CJ27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7" s="14" t="str" cm="1">
        <f t="array" ref="CK27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  <row r="28" spans="2:89" x14ac:dyDescent="0.2">
      <c r="B28" s="13" t="s">
        <v>85</v>
      </c>
      <c r="C28" s="13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100</v>
      </c>
      <c r="W28" s="14">
        <v>50</v>
      </c>
      <c r="X28" s="14">
        <v>0</v>
      </c>
      <c r="Y28" s="14">
        <v>0</v>
      </c>
      <c r="Z28" s="14">
        <v>100</v>
      </c>
      <c r="AA28" s="14">
        <v>0</v>
      </c>
      <c r="AB28" s="14">
        <v>0</v>
      </c>
      <c r="AC28" s="14">
        <v>0</v>
      </c>
      <c r="AD28" s="14">
        <v>100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100</v>
      </c>
      <c r="AN28" s="14">
        <v>0</v>
      </c>
      <c r="AO28" s="14">
        <v>0</v>
      </c>
      <c r="AP28" s="14">
        <v>100</v>
      </c>
      <c r="AQ28" s="14">
        <v>0</v>
      </c>
      <c r="AR28" s="14">
        <v>0</v>
      </c>
      <c r="AS28" s="14">
        <v>0</v>
      </c>
      <c r="AT28" s="14">
        <v>0</v>
      </c>
      <c r="AU28" s="15" t="str" cm="1">
        <f t="array" ref="AU28">IF(Mitigations[[#This Row],[M1036]]&gt;0,INSERT10&amp;" "&amp;""""&amp;Mitigations[[#Headers],[M1036]]&amp;""""&amp;"-&gt;"&amp;""""&amp;Mitigations[[#This Row],[Asset_ID]:[Asset_ID]]&amp;""""&amp;":("&amp;""""&amp;"1.0"&amp;""""&amp;", "&amp;Mitigations[[#This Row],[M1036]]&amp;", "&amp;"TRUE);","")</f>
        <v/>
      </c>
      <c r="AV28" s="14" t="str" cm="1">
        <f t="array" ref="AV28">IF(Mitigations[[#This Row],[M1015]]&gt;0,INSERT10&amp;" "&amp;""""&amp;Mitigations[[#Headers],[M1015]]&amp;""""&amp;"-&gt;"&amp;""""&amp;Mitigations[[#This Row],[Asset_ID]:[Asset_ID]]&amp;""""&amp;":("&amp;""""&amp;"1.0"&amp;""""&amp;", "&amp;Mitigations[[#This Row],[M1015]]&amp;", "&amp;"TRUE);","")</f>
        <v/>
      </c>
      <c r="AW28" s="14" t="str" cm="1">
        <f t="array" ref="AW28">IF(Mitigations[[#This Row],[M1049]]&gt;0,INSERT10&amp;" "&amp;""""&amp;Mitigations[[#Headers],[M1049]]&amp;""""&amp;"-&gt;"&amp;""""&amp;Mitigations[[#This Row],[Asset_ID]:[Asset_ID]]&amp;""""&amp;":("&amp;""""&amp;"1.0"&amp;""""&amp;", "&amp;Mitigations[[#This Row],[M1049]]&amp;", "&amp;"TRUE);","")</f>
        <v/>
      </c>
      <c r="AX28" s="14" t="str" cm="1">
        <f t="array" ref="AX28">IF(Mitigations[[#This Row],[M1013]]&gt;0,INSERT10&amp;" "&amp;""""&amp;Mitigations[[#Headers],[M1013]]&amp;""""&amp;"-&gt;"&amp;""""&amp;Mitigations[[#This Row],[Asset_ID]:[Asset_ID]]&amp;""""&amp;":("&amp;""""&amp;"1.0"&amp;""""&amp;", "&amp;Mitigations[[#This Row],[M1013]]&amp;", "&amp;"TRUE);","")</f>
        <v/>
      </c>
      <c r="AY28" s="14" t="str" cm="1">
        <f t="array" ref="AY28">IF(Mitigations[[#This Row],[M1048]]&gt;0,INSERT10&amp;" "&amp;""""&amp;Mitigations[[#Headers],[M1048]]&amp;""""&amp;"-&gt;"&amp;""""&amp;Mitigations[[#This Row],[Asset_ID]:[Asset_ID]]&amp;""""&amp;":("&amp;""""&amp;"1.0"&amp;""""&amp;", "&amp;Mitigations[[#This Row],[M1048]]&amp;", "&amp;"TRUE);","")</f>
        <v/>
      </c>
      <c r="AZ28" s="14" t="str" cm="1">
        <f t="array" ref="AZ28">IF(Mitigations[[#This Row],[M1047]]&gt;0,INSERT10&amp;" "&amp;""""&amp;Mitigations[[#Headers],[M1047]]&amp;""""&amp;"-&gt;"&amp;""""&amp;Mitigations[[#This Row],[Asset_ID]:[Asset_ID]]&amp;""""&amp;":("&amp;""""&amp;"1.0"&amp;""""&amp;", "&amp;Mitigations[[#This Row],[M1047]]&amp;", "&amp;"TRUE);","")</f>
        <v/>
      </c>
      <c r="BA28" s="14" t="str" cm="1">
        <f t="array" ref="BA28">IF(Mitigations[[#This Row],[M1040]]&gt;0,INSERT10&amp;" "&amp;""""&amp;Mitigations[[#Headers],[M1040]]&amp;""""&amp;"-&gt;"&amp;""""&amp;Mitigations[[#This Row],[Asset_ID]:[Asset_ID]]&amp;""""&amp;":("&amp;""""&amp;"1.0"&amp;""""&amp;", "&amp;Mitigations[[#This Row],[M1040]]&amp;", "&amp;"TRUE);","")</f>
        <v/>
      </c>
      <c r="BB28" s="14" t="str" cm="1">
        <f t="array" ref="BB28">IF(Mitigations[[#This Row],[M1046]]&gt;0,INSERT10&amp;" "&amp;""""&amp;Mitigations[[#Headers],[M1046]]&amp;""""&amp;"-&gt;"&amp;""""&amp;Mitigations[[#This Row],[Asset_ID]:[Asset_ID]]&amp;""""&amp;":("&amp;""""&amp;"1.0"&amp;""""&amp;", "&amp;Mitigations[[#This Row],[M1046]]&amp;", "&amp;"TRUE);","")</f>
        <v/>
      </c>
      <c r="BC28" s="14" t="str" cm="1">
        <f t="array" ref="BC28">IF(Mitigations[[#This Row],[M1045]]&gt;0,INSERT10&amp;" "&amp;""""&amp;Mitigations[[#Headers],[M1045]]&amp;""""&amp;"-&gt;"&amp;""""&amp;Mitigations[[#This Row],[Asset_ID]:[Asset_ID]]&amp;""""&amp;":("&amp;""""&amp;"1.0"&amp;""""&amp;", "&amp;Mitigations[[#This Row],[M1045]]&amp;", "&amp;"TRUE);","")</f>
        <v/>
      </c>
      <c r="BD28" s="14" t="str" cm="1">
        <f t="array" ref="BD28">IF(Mitigations[[#This Row],[M1043]]&gt;0,INSERT10&amp;" "&amp;""""&amp;Mitigations[[#Headers],[M1043]]&amp;""""&amp;"-&gt;"&amp;""""&amp;Mitigations[[#This Row],[Asset_ID]:[Asset_ID]]&amp;""""&amp;":("&amp;""""&amp;"1.0"&amp;""""&amp;", "&amp;Mitigations[[#This Row],[M1043]]&amp;", "&amp;"TRUE);","")</f>
        <v/>
      </c>
      <c r="BE28" s="14" t="str" cm="1">
        <f t="array" ref="BE28">IF(Mitigations[[#This Row],[M1053]]&gt;0,INSERT10&amp;" "&amp;""""&amp;Mitigations[[#Headers],[M1053]]&amp;""""&amp;"-&gt;"&amp;""""&amp;Mitigations[[#This Row],[Asset_ID]:[Asset_ID]]&amp;""""&amp;":("&amp;""""&amp;"1.0"&amp;""""&amp;", "&amp;Mitigations[[#This Row],[M1053]]&amp;", "&amp;"TRUE);","")</f>
        <v/>
      </c>
      <c r="BF28" s="14" t="str" cm="1">
        <f t="array" ref="BF28">IF(Mitigations[[#This Row],[M1057]]&gt;0,INSERT10&amp;" "&amp;""""&amp;Mitigations[[#Headers],[M1057]]&amp;""""&amp;"-&gt;"&amp;""""&amp;Mitigations[[#This Row],[Asset_ID]:[Asset_ID]]&amp;""""&amp;":("&amp;""""&amp;"1.0"&amp;""""&amp;", "&amp;Mitigations[[#This Row],[M1057]]&amp;", "&amp;"TRUE);","")</f>
        <v/>
      </c>
      <c r="BG28" s="14" t="str" cm="1">
        <f t="array" ref="BG28">IF(Mitigations[[#This Row],[M1042]]&gt;0,INSERT10&amp;" "&amp;""""&amp;Mitigations[[#Headers],[M1042]]&amp;""""&amp;"-&gt;"&amp;""""&amp;Mitigations[[#This Row],[Asset_ID]:[Asset_ID]]&amp;""""&amp;":("&amp;""""&amp;"1.0"&amp;""""&amp;", "&amp;Mitigations[[#This Row],[M1042]]&amp;", "&amp;"TRUE);","")</f>
        <v/>
      </c>
      <c r="BH28" s="14" t="str" cm="1">
        <f t="array" ref="BH28">IF(Mitigations[[#This Row],[M1055]]&gt;0,INSERT10&amp;" "&amp;""""&amp;Mitigations[[#Headers],[M1055]]&amp;""""&amp;"-&gt;"&amp;""""&amp;Mitigations[[#This Row],[Asset_ID]:[Asset_ID]]&amp;""""&amp;":("&amp;""""&amp;"1.0"&amp;""""&amp;", "&amp;Mitigations[[#This Row],[M1055]]&amp;", "&amp;"TRUE);","")</f>
        <v/>
      </c>
      <c r="BI28" s="14" t="str" cm="1">
        <f t="array" ref="BI28">IF(Mitigations[[#This Row],[M1041]]&gt;0,INSERT10&amp;" "&amp;""""&amp;Mitigations[[#Headers],[M1041]]&amp;""""&amp;"-&gt;"&amp;""""&amp;Mitigations[[#This Row],[Asset_ID]:[Asset_ID]]&amp;""""&amp;":("&amp;""""&amp;"1.0"&amp;""""&amp;", "&amp;Mitigations[[#This Row],[M1041]]&amp;", "&amp;"TRUE);","")</f>
        <v/>
      </c>
      <c r="BJ28" s="14" t="str" cm="1">
        <f t="array" ref="BJ28">IF(Mitigations[[#This Row],[M1039]]&gt;0,INSERT10&amp;" "&amp;""""&amp;Mitigations[[#Headers],[M1039]]&amp;""""&amp;"-&gt;"&amp;""""&amp;Mitigations[[#This Row],[Asset_ID]:[Asset_ID]]&amp;""""&amp;":("&amp;""""&amp;"1.0"&amp;""""&amp;", "&amp;Mitigations[[#This Row],[M1039]]&amp;", "&amp;"TRUE);","")</f>
        <v/>
      </c>
      <c r="BK28" s="14" t="str" cm="1">
        <f t="array" ref="BK28">IF(Mitigations[[#This Row],[M1038]]&gt;0,INSERT10&amp;" "&amp;""""&amp;Mitigations[[#Headers],[M1038]]&amp;""""&amp;"-&gt;"&amp;""""&amp;Mitigations[[#This Row],[Asset_ID]:[Asset_ID]]&amp;""""&amp;":("&amp;""""&amp;"1.0"&amp;""""&amp;", "&amp;Mitigations[[#This Row],[M1038]]&amp;", "&amp;"TRUE);","")</f>
        <v/>
      </c>
      <c r="BL28" s="14" t="str" cm="1">
        <f t="array" ref="BL28">IF(Mitigations[[#This Row],[M1050]]&gt;0,INSERT10&amp;" "&amp;""""&amp;Mitigations[[#Headers],[M1050]]&amp;""""&amp;"-&gt;"&amp;""""&amp;Mitigations[[#This Row],[Asset_ID]:[Asset_ID]]&amp;""""&amp;":("&amp;""""&amp;"1.0"&amp;""""&amp;", "&amp;Mitigations[[#This Row],[M1050]]&amp;", "&amp;"TRUE);","")</f>
        <v/>
      </c>
      <c r="BM28" s="14" t="str" cm="1">
        <f t="array" ref="BM28">IF(Mitigations[[#This Row],[M1037]]&gt;0,INSERT10&amp;" "&amp;""""&amp;Mitigations[[#Headers],[M1037]]&amp;""""&amp;"-&gt;"&amp;""""&amp;Mitigations[[#This Row],[Asset_ID]:[Asset_ID]]&amp;""""&amp;":("&amp;""""&amp;"1.0"&amp;""""&amp;", "&amp;Mitigations[[#This Row],[M1037]]&amp;", "&amp;"TRUE);","")</f>
        <v>INSERT EDGE IF NOT EXISTS applied_to(Version, Maturity, Active) VALUES "M1037"-&gt;"A00025":("1.0", 100, TRUE);</v>
      </c>
      <c r="BN28" s="14" t="str" cm="1">
        <f t="array" ref="BN28">IF(Mitigations[[#This Row],[M1035]]&gt;0,INSERT10&amp;" "&amp;""""&amp;Mitigations[[#Headers],[M1035]]&amp;""""&amp;"-&gt;"&amp;""""&amp;Mitigations[[#This Row],[Asset_ID]:[Asset_ID]]&amp;""""&amp;":("&amp;""""&amp;"1.0"&amp;""""&amp;", "&amp;Mitigations[[#This Row],[M1035]]&amp;", "&amp;"TRUE);","")</f>
        <v>INSERT EDGE IF NOT EXISTS applied_to(Version, Maturity, Active) VALUES "M1035"-&gt;"A00025":("1.0", 50, TRUE);</v>
      </c>
      <c r="BO28" s="14" t="str" cm="1">
        <f t="array" ref="BO28">IF(Mitigations[[#This Row],[M1034]]&gt;0,INSERT10&amp;" "&amp;""""&amp;Mitigations[[#Headers],[M1034]]&amp;""""&amp;"-&gt;"&amp;""""&amp;Mitigations[[#This Row],[Asset_ID]:[Asset_ID]]&amp;""""&amp;":("&amp;""""&amp;"1.0"&amp;""""&amp;", "&amp;Mitigations[[#This Row],[M1034]]&amp;", "&amp;"TRUE);","")</f>
        <v/>
      </c>
      <c r="BP28" s="14" t="str" cm="1">
        <f t="array" ref="BP28">IF(Mitigations[[#This Row],[M1033]]&gt;0,INSERT10&amp;" "&amp;""""&amp;Mitigations[[#Headers],[M1033]]&amp;""""&amp;"-&gt;"&amp;""""&amp;Mitigations[[#This Row],[Asset_ID]:[Asset_ID]]&amp;""""&amp;":("&amp;""""&amp;"1.0"&amp;""""&amp;", "&amp;Mitigations[[#This Row],[M1033]]&amp;", "&amp;"TRUE);","")</f>
        <v/>
      </c>
      <c r="BQ28" s="14" t="str" cm="1">
        <f t="array" ref="BQ28">IF(Mitigations[[#This Row],[M1032]]&gt;0,INSERT10&amp;" "&amp;""""&amp;Mitigations[[#Headers],[M1032]]&amp;""""&amp;"-&gt;"&amp;""""&amp;Mitigations[[#This Row],[Asset_ID]:[Asset_ID]]&amp;""""&amp;":("&amp;""""&amp;"1.0"&amp;""""&amp;", "&amp;Mitigations[[#This Row],[M1032]]&amp;", "&amp;"TRUE);","")</f>
        <v>INSERT EDGE IF NOT EXISTS applied_to(Version, Maturity, Active) VALUES "M1032"-&gt;"A00025":("1.0", 100, TRUE);</v>
      </c>
      <c r="BR28" s="14" t="str" cm="1">
        <f t="array" ref="BR28">IF(Mitigations[[#This Row],[M1031]]&gt;0,INSERT10&amp;" "&amp;""""&amp;Mitigations[[#Headers],[M1031]]&amp;""""&amp;"-&gt;"&amp;""""&amp;Mitigations[[#This Row],[Asset_ID]:[Asset_ID]]&amp;""""&amp;":("&amp;""""&amp;"1.0"&amp;""""&amp;", "&amp;Mitigations[[#This Row],[M1031]]&amp;", "&amp;"TRUE);","")</f>
        <v/>
      </c>
      <c r="BS28" s="14" t="str" cm="1">
        <f t="array" ref="BS28">IF(Mitigations[[#This Row],[M1030]]&gt;0,INSERT10&amp;" "&amp;""""&amp;Mitigations[[#Headers],[M1030]]&amp;""""&amp;"-&gt;"&amp;""""&amp;Mitigations[[#This Row],[Asset_ID]:[Asset_ID]]&amp;""""&amp;":("&amp;""""&amp;"1.0"&amp;""""&amp;", "&amp;Mitigations[[#This Row],[M1030]]&amp;", "&amp;"TRUE);","")</f>
        <v/>
      </c>
      <c r="BT28" s="14" t="str" cm="1">
        <f t="array" ref="BT28">IF(Mitigations[[#This Row],[M1028]]&gt;0,INSERT10&amp;" "&amp;""""&amp;Mitigations[[#Headers],[M1028]]&amp;""""&amp;"-&gt;"&amp;""""&amp;Mitigations[[#This Row],[Asset_ID]:[Asset_ID]]&amp;""""&amp;":("&amp;""""&amp;"1.0"&amp;""""&amp;", "&amp;Mitigations[[#This Row],[M1028]]&amp;", "&amp;"TRUE);","")</f>
        <v/>
      </c>
      <c r="BU28" s="14" t="str" cm="1">
        <f t="array" ref="BU28">IF(Mitigations[[#This Row],[M1027]]&gt;0,INSERT10&amp;" "&amp;""""&amp;Mitigations[[#Headers],[M1027]]&amp;""""&amp;"-&gt;"&amp;""""&amp;Mitigations[[#This Row],[Asset_ID]:[Asset_ID]]&amp;""""&amp;":("&amp;""""&amp;"1.0"&amp;""""&amp;", "&amp;Mitigations[[#This Row],[M1027]]&amp;", "&amp;"TRUE);","")</f>
        <v>INSERT EDGE IF NOT EXISTS applied_to(Version, Maturity, Active) VALUES "M1027"-&gt;"A00025":("1.0", 100, TRUE);</v>
      </c>
      <c r="BV28" s="14" t="str" cm="1">
        <f t="array" ref="BV28">IF(Mitigations[[#This Row],[M1056]]&gt;0,INSERT10&amp;" "&amp;""""&amp;Mitigations[[#Headers],[M1056]]&amp;""""&amp;"-&gt;"&amp;""""&amp;Mitigations[[#This Row],[Asset_ID]:[Asset_ID]]&amp;""""&amp;":("&amp;""""&amp;"1.0"&amp;""""&amp;", "&amp;Mitigations[[#This Row],[M1056]]&amp;", "&amp;"TRUE);","")</f>
        <v/>
      </c>
      <c r="BW28" s="14" t="str" cm="1">
        <f t="array" ref="BW28">IF(Mitigations[[#This Row],[M1026]]&gt;0,INSERT10&amp;" "&amp;""""&amp;Mitigations[[#Headers],[M1026]]&amp;""""&amp;"-&gt;"&amp;""""&amp;Mitigations[[#This Row],[Asset_ID]:[Asset_ID]]&amp;""""&amp;":("&amp;""""&amp;"1.0"&amp;""""&amp;", "&amp;Mitigations[[#This Row],[M1026]]&amp;", "&amp;"TRUE);","")</f>
        <v/>
      </c>
      <c r="BX28" s="14" t="str" cm="1">
        <f t="array" ref="BX28">IF(Mitigations[[#This Row],[M1025]]&gt;0,INSERT10&amp;" "&amp;""""&amp;Mitigations[[#Headers],[M1025]]&amp;""""&amp;"-&gt;"&amp;""""&amp;Mitigations[[#This Row],[Asset_ID]:[Asset_ID]]&amp;""""&amp;":("&amp;""""&amp;"1.0"&amp;""""&amp;", "&amp;Mitigations[[#This Row],[M1025]]&amp;", "&amp;"TRUE);","")</f>
        <v/>
      </c>
      <c r="BY28" s="14" t="str" cm="1">
        <f t="array" ref="BY28">IF(Mitigations[[#This Row],[M1029]]&gt;0,INSERT10&amp;" "&amp;""""&amp;Mitigations[[#Headers],[M1029]]&amp;""""&amp;"-&gt;"&amp;""""&amp;Mitigations[[#This Row],[Asset_ID]:[Asset_ID]]&amp;""""&amp;":("&amp;""""&amp;"1.0"&amp;""""&amp;", "&amp;Mitigations[[#This Row],[M1029]]&amp;", "&amp;"TRUE);","")</f>
        <v/>
      </c>
      <c r="BZ28" s="14" t="str" cm="1">
        <f t="array" ref="BZ28">IF(Mitigations[[#This Row],[M1022]]&gt;0,INSERT10&amp;" "&amp;""""&amp;Mitigations[[#Headers],[M1022]]&amp;""""&amp;"-&gt;"&amp;""""&amp;Mitigations[[#This Row],[Asset_ID]:[Asset_ID]]&amp;""""&amp;":("&amp;""""&amp;"1.0"&amp;""""&amp;", "&amp;Mitigations[[#This Row],[M1022]]&amp;", "&amp;"TRUE);","")</f>
        <v/>
      </c>
      <c r="CA28" s="14" t="str" cm="1">
        <f t="array" ref="CA28">IF(Mitigations[[#This Row],[M1044]]&gt;0,INSERT10&amp;" "&amp;""""&amp;Mitigations[[#Headers],[M1044]]&amp;""""&amp;"-&gt;"&amp;""""&amp;Mitigations[[#This Row],[Asset_ID]:[Asset_ID]]&amp;""""&amp;":("&amp;""""&amp;"1.0"&amp;""""&amp;", "&amp;Mitigations[[#This Row],[M1044]]&amp;", "&amp;"TRUE);","")</f>
        <v/>
      </c>
      <c r="CB28" s="14" t="str" cm="1">
        <f t="array" ref="CB28">IF(Mitigations[[#This Row],[M1024]]&gt;0,INSERT10&amp;" "&amp;""""&amp;Mitigations[[#Headers],[M1024]]&amp;""""&amp;"-&gt;"&amp;""""&amp;Mitigations[[#This Row],[Asset_ID]:[Asset_ID]]&amp;""""&amp;":("&amp;""""&amp;"1.0"&amp;""""&amp;", "&amp;Mitigations[[#This Row],[M1024]]&amp;", "&amp;"TRUE);","")</f>
        <v/>
      </c>
      <c r="CC28" s="14" t="str" cm="1">
        <f t="array" ref="CC28">IF(Mitigations[[#This Row],[M1021]]&gt;0,INSERT10&amp;" "&amp;""""&amp;Mitigations[[#Headers],[M1021]]&amp;""""&amp;"-&gt;"&amp;""""&amp;Mitigations[[#This Row],[Asset_ID]:[Asset_ID]]&amp;""""&amp;":("&amp;""""&amp;"1.0"&amp;""""&amp;", "&amp;Mitigations[[#This Row],[M1021]]&amp;", "&amp;"TRUE);","")</f>
        <v/>
      </c>
      <c r="CD28" s="14" t="str" cm="1">
        <f t="array" ref="CD28">IF(Mitigations[[#This Row],[M1020]]&gt;0,INSERT10&amp;" "&amp;""""&amp;Mitigations[[#Headers],[M1020]]&amp;""""&amp;"-&gt;"&amp;""""&amp;Mitigations[[#This Row],[Asset_ID]:[Asset_ID]]&amp;""""&amp;":("&amp;""""&amp;"1.0"&amp;""""&amp;", "&amp;Mitigations[[#This Row],[M1020]]&amp;", "&amp;"TRUE);","")</f>
        <v>INSERT EDGE IF NOT EXISTS applied_to(Version, Maturity, Active) VALUES "M1020"-&gt;"A00025":("1.0", 100, TRUE);</v>
      </c>
      <c r="CE28" s="14" t="str" cm="1">
        <f t="array" ref="CE28">IF(Mitigations[[#This Row],[M1054]]&gt;0,INSERT10&amp;" "&amp;""""&amp;Mitigations[[#Headers],[M1054]]&amp;""""&amp;"-&gt;"&amp;""""&amp;Mitigations[[#This Row],[Asset_ID]:[Asset_ID]]&amp;""""&amp;":("&amp;""""&amp;"1.0"&amp;""""&amp;", "&amp;Mitigations[[#This Row],[M1054]]&amp;", "&amp;"TRUE);","")</f>
        <v/>
      </c>
      <c r="CF28" s="14" t="str" cm="1">
        <f t="array" ref="CF28">IF(Mitigations[[#This Row],[M1019]]&gt;0,INSERT10&amp;" "&amp;""""&amp;Mitigations[[#Headers],[M1019]]&amp;""""&amp;"-&gt;"&amp;""""&amp;Mitigations[[#This Row],[Asset_ID]:[Asset_ID]]&amp;""""&amp;":("&amp;""""&amp;"1.0"&amp;""""&amp;", "&amp;Mitigations[[#This Row],[M1019]]&amp;", "&amp;"TRUE);","")</f>
        <v/>
      </c>
      <c r="CG28" s="14" t="str" cm="1">
        <f t="array" ref="CG28">IF(Mitigations[[#This Row],[M1051]]&gt;0,INSERT10&amp;" "&amp;""""&amp;Mitigations[[#Headers],[M1051]]&amp;""""&amp;"-&gt;"&amp;""""&amp;Mitigations[[#This Row],[Asset_ID]:[Asset_ID]]&amp;""""&amp;":("&amp;""""&amp;"1.0"&amp;""""&amp;", "&amp;Mitigations[[#This Row],[M1051]]&amp;", "&amp;"TRUE);","")</f>
        <v>INSERT EDGE IF NOT EXISTS applied_to(Version, Maturity, Active) VALUES "M1051"-&gt;"A00025":("1.0", 100, TRUE);</v>
      </c>
      <c r="CH28" s="14" t="str" cm="1">
        <f t="array" ref="CH28">IF(Mitigations[[#This Row],[M1052]]&gt;0,INSERT10&amp;" "&amp;""""&amp;Mitigations[[#Headers],[M1052]]&amp;""""&amp;"-&gt;"&amp;""""&amp;Mitigations[[#This Row],[Asset_ID]:[Asset_ID]]&amp;""""&amp;":("&amp;""""&amp;"1.0"&amp;""""&amp;", "&amp;Mitigations[[#This Row],[M1052]]&amp;", "&amp;"TRUE);","")</f>
        <v/>
      </c>
      <c r="CI28" s="14" t="str" cm="1">
        <f t="array" ref="CI28">IF(Mitigations[[#This Row],[M1018]]&gt;0,INSERT10&amp;" "&amp;""""&amp;Mitigations[[#Headers],[M1018]]&amp;""""&amp;"-&gt;"&amp;""""&amp;Mitigations[[#This Row],[Asset_ID]:[Asset_ID]]&amp;""""&amp;":("&amp;""""&amp;"1.0"&amp;""""&amp;", "&amp;Mitigations[[#This Row],[M1018]]&amp;", "&amp;"TRUE);","")</f>
        <v/>
      </c>
      <c r="CJ28" s="14" t="str" cm="1">
        <f t="array" ref="CJ28">IF(Mitigations[[#This Row],[M1017]]&gt;0,INSERT10&amp;" "&amp;""""&amp;Mitigations[[#Headers],[M1017]]&amp;""""&amp;"-&gt;"&amp;""""&amp;Mitigations[[#This Row],[Asset_ID]:[Asset_ID]]&amp;""""&amp;":("&amp;""""&amp;"1.0"&amp;""""&amp;", "&amp;Mitigations[[#This Row],[M1017]]&amp;", "&amp;"TRUE);","")</f>
        <v/>
      </c>
      <c r="CK28" s="14" t="str" cm="1">
        <f t="array" ref="CK28">IF(Mitigations[[#This Row],[M1016]]&gt;0,INSERT10&amp;" "&amp;""""&amp;Mitigations[[#Headers],[M1016]]&amp;""""&amp;"-&gt;"&amp;""""&amp;Mitigations[[#This Row],[Asset_ID]:[Asset_ID]]&amp;""""&amp;":("&amp;""""&amp;"1.0"&amp;""""&amp;", "&amp;Mitigations[[#This Row],[M1016]]&amp;", "&amp;"TRUE);","")</f>
        <v/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31DE-5FD6-0B42-B3A8-AA710A639F07}">
  <dimension ref="A1:A159"/>
  <sheetViews>
    <sheetView workbookViewId="0"/>
  </sheetViews>
  <sheetFormatPr baseColWidth="10" defaultRowHeight="16" x14ac:dyDescent="0.2"/>
  <cols>
    <col min="1" max="1" width="116.6640625" customWidth="1"/>
  </cols>
  <sheetData>
    <row r="1" spans="1:1" x14ac:dyDescent="0.2">
      <c r="A1" t="str" cm="1">
        <f t="array" ref="A1:A159">_xlfn._xlws.FILTER(_xlfn.TOCOL(Mitigations!AU4:CK28),_xlfn.TOCOL(Mitigations!AU4:CK28)&lt;&gt;"")</f>
        <v>INSERT EDGE IF NOT EXISTS applied_to(Version, Maturity, Active) VALUES "M1037"-&gt;"A00001":("1.0", 100, TRUE);</v>
      </c>
    </row>
    <row r="2" spans="1:1" x14ac:dyDescent="0.2">
      <c r="A2" t="str">
        <v>INSERT EDGE IF NOT EXISTS applied_to(Version, Maturity, Active) VALUES "M1035"-&gt;"A00001":("1.0", 75, TRUE);</v>
      </c>
    </row>
    <row r="3" spans="1:1" x14ac:dyDescent="0.2">
      <c r="A3" t="str">
        <v>INSERT EDGE IF NOT EXISTS applied_to(Version, Maturity, Active) VALUES "M1032"-&gt;"A00001":("1.0", 100, TRUE);</v>
      </c>
    </row>
    <row r="4" spans="1:1" x14ac:dyDescent="0.2">
      <c r="A4" t="str">
        <v>INSERT EDGE IF NOT EXISTS applied_to(Version, Maturity, Active) VALUES "M1027"-&gt;"A00001":("1.0", 100, TRUE);</v>
      </c>
    </row>
    <row r="5" spans="1:1" x14ac:dyDescent="0.2">
      <c r="A5" t="str">
        <v>INSERT EDGE IF NOT EXISTS applied_to(Version, Maturity, Active) VALUES "M1020"-&gt;"A00001":("1.0", 100, TRUE);</v>
      </c>
    </row>
    <row r="6" spans="1:1" x14ac:dyDescent="0.2">
      <c r="A6" t="str">
        <v>INSERT EDGE IF NOT EXISTS applied_to(Version, Maturity, Active) VALUES "M1051"-&gt;"A00001":("1.0", 100, TRUE);</v>
      </c>
    </row>
    <row r="7" spans="1:1" x14ac:dyDescent="0.2">
      <c r="A7" t="str">
        <v>INSERT EDGE IF NOT EXISTS applied_to(Version, Maturity, Active) VALUES "M1037"-&gt;"A00002":("1.0", 100, TRUE);</v>
      </c>
    </row>
    <row r="8" spans="1:1" x14ac:dyDescent="0.2">
      <c r="A8" t="str">
        <v>INSERT EDGE IF NOT EXISTS applied_to(Version, Maturity, Active) VALUES "M1035"-&gt;"A00002":("1.0", 75, TRUE);</v>
      </c>
    </row>
    <row r="9" spans="1:1" x14ac:dyDescent="0.2">
      <c r="A9" t="str">
        <v>INSERT EDGE IF NOT EXISTS applied_to(Version, Maturity, Active) VALUES "M1032"-&gt;"A00002":("1.0", 100, TRUE);</v>
      </c>
    </row>
    <row r="10" spans="1:1" x14ac:dyDescent="0.2">
      <c r="A10" t="str">
        <v>INSERT EDGE IF NOT EXISTS applied_to(Version, Maturity, Active) VALUES "M1027"-&gt;"A00002":("1.0", 100, TRUE);</v>
      </c>
    </row>
    <row r="11" spans="1:1" x14ac:dyDescent="0.2">
      <c r="A11" t="str">
        <v>INSERT EDGE IF NOT EXISTS applied_to(Version, Maturity, Active) VALUES "M1020"-&gt;"A00002":("1.0", 100, TRUE);</v>
      </c>
    </row>
    <row r="12" spans="1:1" x14ac:dyDescent="0.2">
      <c r="A12" t="str">
        <v>INSERT EDGE IF NOT EXISTS applied_to(Version, Maturity, Active) VALUES "M1051"-&gt;"A00002":("1.0", 100, TRUE);</v>
      </c>
    </row>
    <row r="13" spans="1:1" x14ac:dyDescent="0.2">
      <c r="A13" t="str">
        <v>INSERT EDGE IF NOT EXISTS applied_to(Version, Maturity, Active) VALUES "M1037"-&gt;"A00003":("1.0", 100, TRUE);</v>
      </c>
    </row>
    <row r="14" spans="1:1" x14ac:dyDescent="0.2">
      <c r="A14" t="str">
        <v>INSERT EDGE IF NOT EXISTS applied_to(Version, Maturity, Active) VALUES "M1035"-&gt;"A00003":("1.0", 75, TRUE);</v>
      </c>
    </row>
    <row r="15" spans="1:1" x14ac:dyDescent="0.2">
      <c r="A15" t="str">
        <v>INSERT EDGE IF NOT EXISTS applied_to(Version, Maturity, Active) VALUES "M1032"-&gt;"A00003":("1.0", 100, TRUE);</v>
      </c>
    </row>
    <row r="16" spans="1:1" x14ac:dyDescent="0.2">
      <c r="A16" t="str">
        <v>INSERT EDGE IF NOT EXISTS applied_to(Version, Maturity, Active) VALUES "M1027"-&gt;"A00003":("1.0", 100, TRUE);</v>
      </c>
    </row>
    <row r="17" spans="1:1" x14ac:dyDescent="0.2">
      <c r="A17" t="str">
        <v>INSERT EDGE IF NOT EXISTS applied_to(Version, Maturity, Active) VALUES "M1020"-&gt;"A00003":("1.0", 100, TRUE);</v>
      </c>
    </row>
    <row r="18" spans="1:1" x14ac:dyDescent="0.2">
      <c r="A18" t="str">
        <v>INSERT EDGE IF NOT EXISTS applied_to(Version, Maturity, Active) VALUES "M1051"-&gt;"A00003":("1.0", 100, TRUE);</v>
      </c>
    </row>
    <row r="19" spans="1:1" x14ac:dyDescent="0.2">
      <c r="A19" t="str">
        <v>INSERT EDGE IF NOT EXISTS applied_to(Version, Maturity, Active) VALUES "M1037"-&gt;"A00004":("1.0", 100, TRUE);</v>
      </c>
    </row>
    <row r="20" spans="1:1" x14ac:dyDescent="0.2">
      <c r="A20" t="str">
        <v>INSERT EDGE IF NOT EXISTS applied_to(Version, Maturity, Active) VALUES "M1035"-&gt;"A00004":("1.0", 75, TRUE);</v>
      </c>
    </row>
    <row r="21" spans="1:1" x14ac:dyDescent="0.2">
      <c r="A21" t="str">
        <v>INSERT EDGE IF NOT EXISTS applied_to(Version, Maturity, Active) VALUES "M1032"-&gt;"A00004":("1.0", 100, TRUE);</v>
      </c>
    </row>
    <row r="22" spans="1:1" x14ac:dyDescent="0.2">
      <c r="A22" t="str">
        <v>INSERT EDGE IF NOT EXISTS applied_to(Version, Maturity, Active) VALUES "M1027"-&gt;"A00004":("1.0", 100, TRUE);</v>
      </c>
    </row>
    <row r="23" spans="1:1" x14ac:dyDescent="0.2">
      <c r="A23" t="str">
        <v>INSERT EDGE IF NOT EXISTS applied_to(Version, Maturity, Active) VALUES "M1020"-&gt;"A00004":("1.0", 100, TRUE);</v>
      </c>
    </row>
    <row r="24" spans="1:1" x14ac:dyDescent="0.2">
      <c r="A24" t="str">
        <v>INSERT EDGE IF NOT EXISTS applied_to(Version, Maturity, Active) VALUES "M1051"-&gt;"A00004":("1.0", 100, TRUE);</v>
      </c>
    </row>
    <row r="25" spans="1:1" x14ac:dyDescent="0.2">
      <c r="A25" t="str">
        <v>INSERT EDGE IF NOT EXISTS applied_to(Version, Maturity, Active) VALUES "M1037"-&gt;"A00005":("1.0", 100, TRUE);</v>
      </c>
    </row>
    <row r="26" spans="1:1" x14ac:dyDescent="0.2">
      <c r="A26" t="str">
        <v>INSERT EDGE IF NOT EXISTS applied_to(Version, Maturity, Active) VALUES "M1035"-&gt;"A00005":("1.0", 75, TRUE);</v>
      </c>
    </row>
    <row r="27" spans="1:1" x14ac:dyDescent="0.2">
      <c r="A27" t="str">
        <v>INSERT EDGE IF NOT EXISTS applied_to(Version, Maturity, Active) VALUES "M1032"-&gt;"A00005":("1.0", 100, TRUE);</v>
      </c>
    </row>
    <row r="28" spans="1:1" x14ac:dyDescent="0.2">
      <c r="A28" t="str">
        <v>INSERT EDGE IF NOT EXISTS applied_to(Version, Maturity, Active) VALUES "M1027"-&gt;"A00005":("1.0", 100, TRUE);</v>
      </c>
    </row>
    <row r="29" spans="1:1" x14ac:dyDescent="0.2">
      <c r="A29" t="str">
        <v>INSERT EDGE IF NOT EXISTS applied_to(Version, Maturity, Active) VALUES "M1020"-&gt;"A00005":("1.0", 100, TRUE);</v>
      </c>
    </row>
    <row r="30" spans="1:1" x14ac:dyDescent="0.2">
      <c r="A30" t="str">
        <v>INSERT EDGE IF NOT EXISTS applied_to(Version, Maturity, Active) VALUES "M1051"-&gt;"A00005":("1.0", 100, TRUE);</v>
      </c>
    </row>
    <row r="31" spans="1:1" x14ac:dyDescent="0.2">
      <c r="A31" t="str">
        <v>INSERT EDGE IF NOT EXISTS applied_to(Version, Maturity, Active) VALUES "M1036"-&gt;"A00006":("1.0", 100, TRUE);</v>
      </c>
    </row>
    <row r="32" spans="1:1" x14ac:dyDescent="0.2">
      <c r="A32" t="str">
        <v>INSERT EDGE IF NOT EXISTS applied_to(Version, Maturity, Active) VALUES "M1037"-&gt;"A00006":("1.0", 100, TRUE);</v>
      </c>
    </row>
    <row r="33" spans="1:1" x14ac:dyDescent="0.2">
      <c r="A33" t="str">
        <v>INSERT EDGE IF NOT EXISTS applied_to(Version, Maturity, Active) VALUES "M1035"-&gt;"A00006":("1.0", 50, TRUE);</v>
      </c>
    </row>
    <row r="34" spans="1:1" x14ac:dyDescent="0.2">
      <c r="A34" t="str">
        <v>INSERT EDGE IF NOT EXISTS applied_to(Version, Maturity, Active) VALUES "M1032"-&gt;"A00006":("1.0", 100, TRUE);</v>
      </c>
    </row>
    <row r="35" spans="1:1" x14ac:dyDescent="0.2">
      <c r="A35" t="str">
        <v>INSERT EDGE IF NOT EXISTS applied_to(Version, Maturity, Active) VALUES "M1027"-&gt;"A00006":("1.0", 100, TRUE);</v>
      </c>
    </row>
    <row r="36" spans="1:1" x14ac:dyDescent="0.2">
      <c r="A36" t="str">
        <v>INSERT EDGE IF NOT EXISTS applied_to(Version, Maturity, Active) VALUES "M1020"-&gt;"A00006":("1.0", 100, TRUE);</v>
      </c>
    </row>
    <row r="37" spans="1:1" x14ac:dyDescent="0.2">
      <c r="A37" t="str">
        <v>INSERT EDGE IF NOT EXISTS applied_to(Version, Maturity, Active) VALUES "M1051"-&gt;"A00006":("1.0", 100, TRUE);</v>
      </c>
    </row>
    <row r="38" spans="1:1" x14ac:dyDescent="0.2">
      <c r="A38" t="str">
        <v>INSERT EDGE IF NOT EXISTS applied_to(Version, Maturity, Active) VALUES "M1037"-&gt;"A00007":("1.0", 100, TRUE);</v>
      </c>
    </row>
    <row r="39" spans="1:1" x14ac:dyDescent="0.2">
      <c r="A39" t="str">
        <v>INSERT EDGE IF NOT EXISTS applied_to(Version, Maturity, Active) VALUES "M1035"-&gt;"A00007":("1.0", 50, TRUE);</v>
      </c>
    </row>
    <row r="40" spans="1:1" x14ac:dyDescent="0.2">
      <c r="A40" t="str">
        <v>INSERT EDGE IF NOT EXISTS applied_to(Version, Maturity, Active) VALUES "M1032"-&gt;"A00007":("1.0", 100, TRUE);</v>
      </c>
    </row>
    <row r="41" spans="1:1" x14ac:dyDescent="0.2">
      <c r="A41" t="str">
        <v>INSERT EDGE IF NOT EXISTS applied_to(Version, Maturity, Active) VALUES "M1027"-&gt;"A00007":("1.0", 100, TRUE);</v>
      </c>
    </row>
    <row r="42" spans="1:1" x14ac:dyDescent="0.2">
      <c r="A42" t="str">
        <v>INSERT EDGE IF NOT EXISTS applied_to(Version, Maturity, Active) VALUES "M1020"-&gt;"A00007":("1.0", 100, TRUE);</v>
      </c>
    </row>
    <row r="43" spans="1:1" x14ac:dyDescent="0.2">
      <c r="A43" t="str">
        <v>INSERT EDGE IF NOT EXISTS applied_to(Version, Maturity, Active) VALUES "M1051"-&gt;"A00007":("1.0", 100, TRUE);</v>
      </c>
    </row>
    <row r="44" spans="1:1" x14ac:dyDescent="0.2">
      <c r="A44" t="str">
        <v>INSERT EDGE IF NOT EXISTS applied_to(Version, Maturity, Active) VALUES "M1037"-&gt;"A00008":("1.0", 100, TRUE);</v>
      </c>
    </row>
    <row r="45" spans="1:1" x14ac:dyDescent="0.2">
      <c r="A45" t="str">
        <v>INSERT EDGE IF NOT EXISTS applied_to(Version, Maturity, Active) VALUES "M1035"-&gt;"A00008":("1.0", 50, TRUE);</v>
      </c>
    </row>
    <row r="46" spans="1:1" x14ac:dyDescent="0.2">
      <c r="A46" t="str">
        <v>INSERT EDGE IF NOT EXISTS applied_to(Version, Maturity, Active) VALUES "M1032"-&gt;"A00008":("1.0", 100, TRUE);</v>
      </c>
    </row>
    <row r="47" spans="1:1" x14ac:dyDescent="0.2">
      <c r="A47" t="str">
        <v>INSERT EDGE IF NOT EXISTS applied_to(Version, Maturity, Active) VALUES "M1027"-&gt;"A00008":("1.0", 100, TRUE);</v>
      </c>
    </row>
    <row r="48" spans="1:1" x14ac:dyDescent="0.2">
      <c r="A48" t="str">
        <v>INSERT EDGE IF NOT EXISTS applied_to(Version, Maturity, Active) VALUES "M1020"-&gt;"A00008":("1.0", 100, TRUE);</v>
      </c>
    </row>
    <row r="49" spans="1:1" x14ac:dyDescent="0.2">
      <c r="A49" t="str">
        <v>INSERT EDGE IF NOT EXISTS applied_to(Version, Maturity, Active) VALUES "M1051"-&gt;"A00008":("1.0", 100, TRUE);</v>
      </c>
    </row>
    <row r="50" spans="1:1" x14ac:dyDescent="0.2">
      <c r="A50" t="str">
        <v>INSERT EDGE IF NOT EXISTS applied_to(Version, Maturity, Active) VALUES "M1046"-&gt;"A00009":("1.0", 100, TRUE);</v>
      </c>
    </row>
    <row r="51" spans="1:1" x14ac:dyDescent="0.2">
      <c r="A51" t="str">
        <v>INSERT EDGE IF NOT EXISTS applied_to(Version, Maturity, Active) VALUES "M1037"-&gt;"A00009":("1.0", 100, TRUE);</v>
      </c>
    </row>
    <row r="52" spans="1:1" x14ac:dyDescent="0.2">
      <c r="A52" t="str">
        <v>INSERT EDGE IF NOT EXISTS applied_to(Version, Maturity, Active) VALUES "M1035"-&gt;"A00009":("1.0", 50, TRUE);</v>
      </c>
    </row>
    <row r="53" spans="1:1" x14ac:dyDescent="0.2">
      <c r="A53" t="str">
        <v>INSERT EDGE IF NOT EXISTS applied_to(Version, Maturity, Active) VALUES "M1032"-&gt;"A00009":("1.0", 100, TRUE);</v>
      </c>
    </row>
    <row r="54" spans="1:1" x14ac:dyDescent="0.2">
      <c r="A54" t="str">
        <v>INSERT EDGE IF NOT EXISTS applied_to(Version, Maturity, Active) VALUES "M1027"-&gt;"A00009":("1.0", 100, TRUE);</v>
      </c>
    </row>
    <row r="55" spans="1:1" x14ac:dyDescent="0.2">
      <c r="A55" t="str">
        <v>INSERT EDGE IF NOT EXISTS applied_to(Version, Maturity, Active) VALUES "M1022"-&gt;"A00009":("1.0", 100, TRUE);</v>
      </c>
    </row>
    <row r="56" spans="1:1" x14ac:dyDescent="0.2">
      <c r="A56" t="str">
        <v>INSERT EDGE IF NOT EXISTS applied_to(Version, Maturity, Active) VALUES "M1020"-&gt;"A00009":("1.0", 100, TRUE);</v>
      </c>
    </row>
    <row r="57" spans="1:1" x14ac:dyDescent="0.2">
      <c r="A57" t="str">
        <v>INSERT EDGE IF NOT EXISTS applied_to(Version, Maturity, Active) VALUES "M1051"-&gt;"A00009":("1.0", 100, TRUE);</v>
      </c>
    </row>
    <row r="58" spans="1:1" x14ac:dyDescent="0.2">
      <c r="A58" t="str">
        <v>INSERT EDGE IF NOT EXISTS applied_to(Version, Maturity, Active) VALUES "M1046"-&gt;"A00010":("1.0", 100, TRUE);</v>
      </c>
    </row>
    <row r="59" spans="1:1" x14ac:dyDescent="0.2">
      <c r="A59" t="str">
        <v>INSERT EDGE IF NOT EXISTS applied_to(Version, Maturity, Active) VALUES "M1037"-&gt;"A00010":("1.0", 100, TRUE);</v>
      </c>
    </row>
    <row r="60" spans="1:1" x14ac:dyDescent="0.2">
      <c r="A60" t="str">
        <v>INSERT EDGE IF NOT EXISTS applied_to(Version, Maturity, Active) VALUES "M1035"-&gt;"A00010":("1.0", 50, TRUE);</v>
      </c>
    </row>
    <row r="61" spans="1:1" x14ac:dyDescent="0.2">
      <c r="A61" t="str">
        <v>INSERT EDGE IF NOT EXISTS applied_to(Version, Maturity, Active) VALUES "M1032"-&gt;"A00010":("1.0", 100, TRUE);</v>
      </c>
    </row>
    <row r="62" spans="1:1" x14ac:dyDescent="0.2">
      <c r="A62" t="str">
        <v>INSERT EDGE IF NOT EXISTS applied_to(Version, Maturity, Active) VALUES "M1027"-&gt;"A00010":("1.0", 100, TRUE);</v>
      </c>
    </row>
    <row r="63" spans="1:1" x14ac:dyDescent="0.2">
      <c r="A63" t="str">
        <v>INSERT EDGE IF NOT EXISTS applied_to(Version, Maturity, Active) VALUES "M1020"-&gt;"A00010":("1.0", 100, TRUE);</v>
      </c>
    </row>
    <row r="64" spans="1:1" x14ac:dyDescent="0.2">
      <c r="A64" t="str">
        <v>INSERT EDGE IF NOT EXISTS applied_to(Version, Maturity, Active) VALUES "M1051"-&gt;"A00010":("1.0", 100, TRUE);</v>
      </c>
    </row>
    <row r="65" spans="1:1" x14ac:dyDescent="0.2">
      <c r="A65" t="str">
        <v>INSERT EDGE IF NOT EXISTS applied_to(Version, Maturity, Active) VALUES "M1017"-&gt;"A00010":("1.0", 100, TRUE);</v>
      </c>
    </row>
    <row r="66" spans="1:1" x14ac:dyDescent="0.2">
      <c r="A66" t="str">
        <v>INSERT EDGE IF NOT EXISTS applied_to(Version, Maturity, Active) VALUES "M1037"-&gt;"A00011":("1.0", 100, TRUE);</v>
      </c>
    </row>
    <row r="67" spans="1:1" x14ac:dyDescent="0.2">
      <c r="A67" t="str">
        <v>INSERT EDGE IF NOT EXISTS applied_to(Version, Maturity, Active) VALUES "M1035"-&gt;"A00011":("1.0", 50, TRUE);</v>
      </c>
    </row>
    <row r="68" spans="1:1" x14ac:dyDescent="0.2">
      <c r="A68" t="str">
        <v>INSERT EDGE IF NOT EXISTS applied_to(Version, Maturity, Active) VALUES "M1032"-&gt;"A00011":("1.0", 100, TRUE);</v>
      </c>
    </row>
    <row r="69" spans="1:1" x14ac:dyDescent="0.2">
      <c r="A69" t="str">
        <v>INSERT EDGE IF NOT EXISTS applied_to(Version, Maturity, Active) VALUES "M1027"-&gt;"A00011":("1.0", 100, TRUE);</v>
      </c>
    </row>
    <row r="70" spans="1:1" x14ac:dyDescent="0.2">
      <c r="A70" t="str">
        <v>INSERT EDGE IF NOT EXISTS applied_to(Version, Maturity, Active) VALUES "M1020"-&gt;"A00011":("1.0", 100, TRUE);</v>
      </c>
    </row>
    <row r="71" spans="1:1" x14ac:dyDescent="0.2">
      <c r="A71" t="str">
        <v>INSERT EDGE IF NOT EXISTS applied_to(Version, Maturity, Active) VALUES "M1051"-&gt;"A00011":("1.0", 100, TRUE);</v>
      </c>
    </row>
    <row r="72" spans="1:1" x14ac:dyDescent="0.2">
      <c r="A72" t="str">
        <v>INSERT EDGE IF NOT EXISTS applied_to(Version, Maturity, Active) VALUES "M1049"-&gt;"A00012":("1.0", 100, TRUE);</v>
      </c>
    </row>
    <row r="73" spans="1:1" x14ac:dyDescent="0.2">
      <c r="A73" t="str">
        <v>INSERT EDGE IF NOT EXISTS applied_to(Version, Maturity, Active) VALUES "M1037"-&gt;"A00012":("1.0", 100, TRUE);</v>
      </c>
    </row>
    <row r="74" spans="1:1" x14ac:dyDescent="0.2">
      <c r="A74" t="str">
        <v>INSERT EDGE IF NOT EXISTS applied_to(Version, Maturity, Active) VALUES "M1035"-&gt;"A00012":("1.0", 50, TRUE);</v>
      </c>
    </row>
    <row r="75" spans="1:1" x14ac:dyDescent="0.2">
      <c r="A75" t="str">
        <v>INSERT EDGE IF NOT EXISTS applied_to(Version, Maturity, Active) VALUES "M1032"-&gt;"A00012":("1.0", 100, TRUE);</v>
      </c>
    </row>
    <row r="76" spans="1:1" x14ac:dyDescent="0.2">
      <c r="A76" t="str">
        <v>INSERT EDGE IF NOT EXISTS applied_to(Version, Maturity, Active) VALUES "M1027"-&gt;"A00012":("1.0", 100, TRUE);</v>
      </c>
    </row>
    <row r="77" spans="1:1" x14ac:dyDescent="0.2">
      <c r="A77" t="str">
        <v>INSERT EDGE IF NOT EXISTS applied_to(Version, Maturity, Active) VALUES "M1020"-&gt;"A00012":("1.0", 100, TRUE);</v>
      </c>
    </row>
    <row r="78" spans="1:1" x14ac:dyDescent="0.2">
      <c r="A78" t="str">
        <v>INSERT EDGE IF NOT EXISTS applied_to(Version, Maturity, Active) VALUES "M1051"-&gt;"A00012":("1.0", 100, TRUE);</v>
      </c>
    </row>
    <row r="79" spans="1:1" x14ac:dyDescent="0.2">
      <c r="A79" t="str">
        <v>INSERT EDGE IF NOT EXISTS applied_to(Version, Maturity, Active) VALUES "M1036"-&gt;"A00013":("1.0", 100, TRUE);</v>
      </c>
    </row>
    <row r="80" spans="1:1" x14ac:dyDescent="0.2">
      <c r="A80" t="str">
        <v>INSERT EDGE IF NOT EXISTS applied_to(Version, Maturity, Active) VALUES "M1049"-&gt;"A00013":("1.0", 100, TRUE);</v>
      </c>
    </row>
    <row r="81" spans="1:1" x14ac:dyDescent="0.2">
      <c r="A81" t="str">
        <v>INSERT EDGE IF NOT EXISTS applied_to(Version, Maturity, Active) VALUES "M1037"-&gt;"A00013":("1.0", 100, TRUE);</v>
      </c>
    </row>
    <row r="82" spans="1:1" x14ac:dyDescent="0.2">
      <c r="A82" t="str">
        <v>INSERT EDGE IF NOT EXISTS applied_to(Version, Maturity, Active) VALUES "M1035"-&gt;"A00013":("1.0", 50, TRUE);</v>
      </c>
    </row>
    <row r="83" spans="1:1" x14ac:dyDescent="0.2">
      <c r="A83" t="str">
        <v>INSERT EDGE IF NOT EXISTS applied_to(Version, Maturity, Active) VALUES "M1032"-&gt;"A00013":("1.0", 100, TRUE);</v>
      </c>
    </row>
    <row r="84" spans="1:1" x14ac:dyDescent="0.2">
      <c r="A84" t="str">
        <v>INSERT EDGE IF NOT EXISTS applied_to(Version, Maturity, Active) VALUES "M1027"-&gt;"A00013":("1.0", 100, TRUE);</v>
      </c>
    </row>
    <row r="85" spans="1:1" x14ac:dyDescent="0.2">
      <c r="A85" t="str">
        <v>INSERT EDGE IF NOT EXISTS applied_to(Version, Maturity, Active) VALUES "M1020"-&gt;"A00013":("1.0", 100, TRUE);</v>
      </c>
    </row>
    <row r="86" spans="1:1" x14ac:dyDescent="0.2">
      <c r="A86" t="str">
        <v>INSERT EDGE IF NOT EXISTS applied_to(Version, Maturity, Active) VALUES "M1051"-&gt;"A00013":("1.0", 100, TRUE);</v>
      </c>
    </row>
    <row r="87" spans="1:1" x14ac:dyDescent="0.2">
      <c r="A87" t="str">
        <v>INSERT EDGE IF NOT EXISTS applied_to(Version, Maturity, Active) VALUES "M1037"-&gt;"A00014":("1.0", 100, TRUE);</v>
      </c>
    </row>
    <row r="88" spans="1:1" x14ac:dyDescent="0.2">
      <c r="A88" t="str">
        <v>INSERT EDGE IF NOT EXISTS applied_to(Version, Maturity, Active) VALUES "M1035"-&gt;"A00014":("1.0", 50, TRUE);</v>
      </c>
    </row>
    <row r="89" spans="1:1" x14ac:dyDescent="0.2">
      <c r="A89" t="str">
        <v>INSERT EDGE IF NOT EXISTS applied_to(Version, Maturity, Active) VALUES "M1032"-&gt;"A00014":("1.0", 100, TRUE);</v>
      </c>
    </row>
    <row r="90" spans="1:1" x14ac:dyDescent="0.2">
      <c r="A90" t="str">
        <v>INSERT EDGE IF NOT EXISTS applied_to(Version, Maturity, Active) VALUES "M1027"-&gt;"A00014":("1.0", 100, TRUE);</v>
      </c>
    </row>
    <row r="91" spans="1:1" x14ac:dyDescent="0.2">
      <c r="A91" t="str">
        <v>INSERT EDGE IF NOT EXISTS applied_to(Version, Maturity, Active) VALUES "M1020"-&gt;"A00014":("1.0", 100, TRUE);</v>
      </c>
    </row>
    <row r="92" spans="1:1" x14ac:dyDescent="0.2">
      <c r="A92" t="str">
        <v>INSERT EDGE IF NOT EXISTS applied_to(Version, Maturity, Active) VALUES "M1051"-&gt;"A00014":("1.0", 100, TRUE);</v>
      </c>
    </row>
    <row r="93" spans="1:1" x14ac:dyDescent="0.2">
      <c r="A93" t="str">
        <v>INSERT EDGE IF NOT EXISTS applied_to(Version, Maturity, Active) VALUES "M1037"-&gt;"A00015":("1.0", 100, TRUE);</v>
      </c>
    </row>
    <row r="94" spans="1:1" x14ac:dyDescent="0.2">
      <c r="A94" t="str">
        <v>INSERT EDGE IF NOT EXISTS applied_to(Version, Maturity, Active) VALUES "M1035"-&gt;"A00015":("1.0", 50, TRUE);</v>
      </c>
    </row>
    <row r="95" spans="1:1" x14ac:dyDescent="0.2">
      <c r="A95" t="str">
        <v>INSERT EDGE IF NOT EXISTS applied_to(Version, Maturity, Active) VALUES "M1032"-&gt;"A00015":("1.0", 100, TRUE);</v>
      </c>
    </row>
    <row r="96" spans="1:1" x14ac:dyDescent="0.2">
      <c r="A96" t="str">
        <v>INSERT EDGE IF NOT EXISTS applied_to(Version, Maturity, Active) VALUES "M1027"-&gt;"A00015":("1.0", 100, TRUE);</v>
      </c>
    </row>
    <row r="97" spans="1:1" x14ac:dyDescent="0.2">
      <c r="A97" t="str">
        <v>INSERT EDGE IF NOT EXISTS applied_to(Version, Maturity, Active) VALUES "M1020"-&gt;"A00015":("1.0", 100, TRUE);</v>
      </c>
    </row>
    <row r="98" spans="1:1" x14ac:dyDescent="0.2">
      <c r="A98" t="str">
        <v>INSERT EDGE IF NOT EXISTS applied_to(Version, Maturity, Active) VALUES "M1051"-&gt;"A00015":("1.0", 100, TRUE);</v>
      </c>
    </row>
    <row r="99" spans="1:1" x14ac:dyDescent="0.2">
      <c r="A99" t="str">
        <v>INSERT EDGE IF NOT EXISTS applied_to(Version, Maturity, Active) VALUES "M1037"-&gt;"A00016":("1.0", 100, TRUE);</v>
      </c>
    </row>
    <row r="100" spans="1:1" x14ac:dyDescent="0.2">
      <c r="A100" t="str">
        <v>INSERT EDGE IF NOT EXISTS applied_to(Version, Maturity, Active) VALUES "M1035"-&gt;"A00016":("1.0", 50, TRUE);</v>
      </c>
    </row>
    <row r="101" spans="1:1" x14ac:dyDescent="0.2">
      <c r="A101" t="str">
        <v>INSERT EDGE IF NOT EXISTS applied_to(Version, Maturity, Active) VALUES "M1032"-&gt;"A00016":("1.0", 100, TRUE);</v>
      </c>
    </row>
    <row r="102" spans="1:1" x14ac:dyDescent="0.2">
      <c r="A102" t="str">
        <v>INSERT EDGE IF NOT EXISTS applied_to(Version, Maturity, Active) VALUES "M1027"-&gt;"A00016":("1.0", 100, TRUE);</v>
      </c>
    </row>
    <row r="103" spans="1:1" x14ac:dyDescent="0.2">
      <c r="A103" t="str">
        <v>INSERT EDGE IF NOT EXISTS applied_to(Version, Maturity, Active) VALUES "M1020"-&gt;"A00016":("1.0", 100, TRUE);</v>
      </c>
    </row>
    <row r="104" spans="1:1" x14ac:dyDescent="0.2">
      <c r="A104" t="str">
        <v>INSERT EDGE IF NOT EXISTS applied_to(Version, Maturity, Active) VALUES "M1051"-&gt;"A00016":("1.0", 100, TRUE);</v>
      </c>
    </row>
    <row r="105" spans="1:1" x14ac:dyDescent="0.2">
      <c r="A105" t="str">
        <v>INSERT EDGE IF NOT EXISTS applied_to(Version, Maturity, Active) VALUES "M1037"-&gt;"A00017":("1.0", 100, TRUE);</v>
      </c>
    </row>
    <row r="106" spans="1:1" x14ac:dyDescent="0.2">
      <c r="A106" t="str">
        <v>INSERT EDGE IF NOT EXISTS applied_to(Version, Maturity, Active) VALUES "M1035"-&gt;"A00017":("1.0", 50, TRUE);</v>
      </c>
    </row>
    <row r="107" spans="1:1" x14ac:dyDescent="0.2">
      <c r="A107" t="str">
        <v>INSERT EDGE IF NOT EXISTS applied_to(Version, Maturity, Active) VALUES "M1032"-&gt;"A00017":("1.0", 100, TRUE);</v>
      </c>
    </row>
    <row r="108" spans="1:1" x14ac:dyDescent="0.2">
      <c r="A108" t="str">
        <v>INSERT EDGE IF NOT EXISTS applied_to(Version, Maturity, Active) VALUES "M1027"-&gt;"A00017":("1.0", 100, TRUE);</v>
      </c>
    </row>
    <row r="109" spans="1:1" x14ac:dyDescent="0.2">
      <c r="A109" t="str">
        <v>INSERT EDGE IF NOT EXISTS applied_to(Version, Maturity, Active) VALUES "M1020"-&gt;"A00017":("1.0", 100, TRUE);</v>
      </c>
    </row>
    <row r="110" spans="1:1" x14ac:dyDescent="0.2">
      <c r="A110" t="str">
        <v>INSERT EDGE IF NOT EXISTS applied_to(Version, Maturity, Active) VALUES "M1051"-&gt;"A00017":("1.0", 100, TRUE);</v>
      </c>
    </row>
    <row r="111" spans="1:1" x14ac:dyDescent="0.2">
      <c r="A111" t="str">
        <v>INSERT EDGE IF NOT EXISTS applied_to(Version, Maturity, Active) VALUES "M1037"-&gt;"A00018":("1.0", 100, TRUE);</v>
      </c>
    </row>
    <row r="112" spans="1:1" x14ac:dyDescent="0.2">
      <c r="A112" t="str">
        <v>INSERT EDGE IF NOT EXISTS applied_to(Version, Maturity, Active) VALUES "M1035"-&gt;"A00018":("1.0", 100, TRUE);</v>
      </c>
    </row>
    <row r="113" spans="1:1" x14ac:dyDescent="0.2">
      <c r="A113" t="str">
        <v>INSERT EDGE IF NOT EXISTS applied_to(Version, Maturity, Active) VALUES "M1032"-&gt;"A00018":("1.0", 100, TRUE);</v>
      </c>
    </row>
    <row r="114" spans="1:1" x14ac:dyDescent="0.2">
      <c r="A114" t="str">
        <v>INSERT EDGE IF NOT EXISTS applied_to(Version, Maturity, Active) VALUES "M1027"-&gt;"A00018":("1.0", 100, TRUE);</v>
      </c>
    </row>
    <row r="115" spans="1:1" x14ac:dyDescent="0.2">
      <c r="A115" t="str">
        <v>INSERT EDGE IF NOT EXISTS applied_to(Version, Maturity, Active) VALUES "M1020"-&gt;"A00018":("1.0", 100, TRUE);</v>
      </c>
    </row>
    <row r="116" spans="1:1" x14ac:dyDescent="0.2">
      <c r="A116" t="str">
        <v>INSERT EDGE IF NOT EXISTS applied_to(Version, Maturity, Active) VALUES "M1051"-&gt;"A00018":("1.0", 100, TRUE);</v>
      </c>
    </row>
    <row r="117" spans="1:1" x14ac:dyDescent="0.2">
      <c r="A117" t="str">
        <v>INSERT EDGE IF NOT EXISTS applied_to(Version, Maturity, Active) VALUES "M1037"-&gt;"A00019":("1.0", 100, TRUE);</v>
      </c>
    </row>
    <row r="118" spans="1:1" x14ac:dyDescent="0.2">
      <c r="A118" t="str">
        <v>INSERT EDGE IF NOT EXISTS applied_to(Version, Maturity, Active) VALUES "M1035"-&gt;"A00019":("1.0", 100, TRUE);</v>
      </c>
    </row>
    <row r="119" spans="1:1" x14ac:dyDescent="0.2">
      <c r="A119" t="str">
        <v>INSERT EDGE IF NOT EXISTS applied_to(Version, Maturity, Active) VALUES "M1032"-&gt;"A00019":("1.0", 100, TRUE);</v>
      </c>
    </row>
    <row r="120" spans="1:1" x14ac:dyDescent="0.2">
      <c r="A120" t="str">
        <v>INSERT EDGE IF NOT EXISTS applied_to(Version, Maturity, Active) VALUES "M1027"-&gt;"A00019":("1.0", 100, TRUE);</v>
      </c>
    </row>
    <row r="121" spans="1:1" x14ac:dyDescent="0.2">
      <c r="A121" t="str">
        <v>INSERT EDGE IF NOT EXISTS applied_to(Version, Maturity, Active) VALUES "M1020"-&gt;"A00019":("1.0", 100, TRUE);</v>
      </c>
    </row>
    <row r="122" spans="1:1" x14ac:dyDescent="0.2">
      <c r="A122" t="str">
        <v>INSERT EDGE IF NOT EXISTS applied_to(Version, Maturity, Active) VALUES "M1051"-&gt;"A00019":("1.0", 100, TRUE);</v>
      </c>
    </row>
    <row r="123" spans="1:1" x14ac:dyDescent="0.2">
      <c r="A123" t="str">
        <v>INSERT EDGE IF NOT EXISTS applied_to(Version, Maturity, Active) VALUES "M1042"-&gt;"A00020":("1.0", 100, TRUE);</v>
      </c>
    </row>
    <row r="124" spans="1:1" x14ac:dyDescent="0.2">
      <c r="A124" t="str">
        <v>INSERT EDGE IF NOT EXISTS applied_to(Version, Maturity, Active) VALUES "M1037"-&gt;"A00020":("1.0", 100, TRUE);</v>
      </c>
    </row>
    <row r="125" spans="1:1" x14ac:dyDescent="0.2">
      <c r="A125" t="str">
        <v>INSERT EDGE IF NOT EXISTS applied_to(Version, Maturity, Active) VALUES "M1035"-&gt;"A00020":("1.0", 100, TRUE);</v>
      </c>
    </row>
    <row r="126" spans="1:1" x14ac:dyDescent="0.2">
      <c r="A126" t="str">
        <v>INSERT EDGE IF NOT EXISTS applied_to(Version, Maturity, Active) VALUES "M1032"-&gt;"A00020":("1.0", 100, TRUE);</v>
      </c>
    </row>
    <row r="127" spans="1:1" x14ac:dyDescent="0.2">
      <c r="A127" t="str">
        <v>INSERT EDGE IF NOT EXISTS applied_to(Version, Maturity, Active) VALUES "M1027"-&gt;"A00020":("1.0", 100, TRUE);</v>
      </c>
    </row>
    <row r="128" spans="1:1" x14ac:dyDescent="0.2">
      <c r="A128" t="str">
        <v>INSERT EDGE IF NOT EXISTS applied_to(Version, Maturity, Active) VALUES "M1020"-&gt;"A00020":("1.0", 100, TRUE);</v>
      </c>
    </row>
    <row r="129" spans="1:1" x14ac:dyDescent="0.2">
      <c r="A129" t="str">
        <v>INSERT EDGE IF NOT EXISTS applied_to(Version, Maturity, Active) VALUES "M1051"-&gt;"A00020":("1.0", 100, TRUE);</v>
      </c>
    </row>
    <row r="130" spans="1:1" x14ac:dyDescent="0.2">
      <c r="A130" t="str">
        <v>INSERT EDGE IF NOT EXISTS applied_to(Version, Maturity, Active) VALUES "M1037"-&gt;"A00021":("1.0", 100, TRUE);</v>
      </c>
    </row>
    <row r="131" spans="1:1" x14ac:dyDescent="0.2">
      <c r="A131" t="str">
        <v>INSERT EDGE IF NOT EXISTS applied_to(Version, Maturity, Active) VALUES "M1035"-&gt;"A00021":("1.0", 50, TRUE);</v>
      </c>
    </row>
    <row r="132" spans="1:1" x14ac:dyDescent="0.2">
      <c r="A132" t="str">
        <v>INSERT EDGE IF NOT EXISTS applied_to(Version, Maturity, Active) VALUES "M1032"-&gt;"A00021":("1.0", 100, TRUE);</v>
      </c>
    </row>
    <row r="133" spans="1:1" x14ac:dyDescent="0.2">
      <c r="A133" t="str">
        <v>INSERT EDGE IF NOT EXISTS applied_to(Version, Maturity, Active) VALUES "M1027"-&gt;"A00021":("1.0", 100, TRUE);</v>
      </c>
    </row>
    <row r="134" spans="1:1" x14ac:dyDescent="0.2">
      <c r="A134" t="str">
        <v>INSERT EDGE IF NOT EXISTS applied_to(Version, Maturity, Active) VALUES "M1020"-&gt;"A00021":("1.0", 100, TRUE);</v>
      </c>
    </row>
    <row r="135" spans="1:1" x14ac:dyDescent="0.2">
      <c r="A135" t="str">
        <v>INSERT EDGE IF NOT EXISTS applied_to(Version, Maturity, Active) VALUES "M1051"-&gt;"A00021":("1.0", 100, TRUE);</v>
      </c>
    </row>
    <row r="136" spans="1:1" x14ac:dyDescent="0.2">
      <c r="A136" t="str">
        <v>INSERT EDGE IF NOT EXISTS applied_to(Version, Maturity, Active) VALUES "M1037"-&gt;"A00022":("1.0", 100, TRUE);</v>
      </c>
    </row>
    <row r="137" spans="1:1" x14ac:dyDescent="0.2">
      <c r="A137" t="str">
        <v>INSERT EDGE IF NOT EXISTS applied_to(Version, Maturity, Active) VALUES "M1035"-&gt;"A00022":("1.0", 50, TRUE);</v>
      </c>
    </row>
    <row r="138" spans="1:1" x14ac:dyDescent="0.2">
      <c r="A138" t="str">
        <v>INSERT EDGE IF NOT EXISTS applied_to(Version, Maturity, Active) VALUES "M1032"-&gt;"A00022":("1.0", 100, TRUE);</v>
      </c>
    </row>
    <row r="139" spans="1:1" x14ac:dyDescent="0.2">
      <c r="A139" t="str">
        <v>INSERT EDGE IF NOT EXISTS applied_to(Version, Maturity, Active) VALUES "M1027"-&gt;"A00022":("1.0", 100, TRUE);</v>
      </c>
    </row>
    <row r="140" spans="1:1" x14ac:dyDescent="0.2">
      <c r="A140" t="str">
        <v>INSERT EDGE IF NOT EXISTS applied_to(Version, Maturity, Active) VALUES "M1020"-&gt;"A00022":("1.0", 100, TRUE);</v>
      </c>
    </row>
    <row r="141" spans="1:1" x14ac:dyDescent="0.2">
      <c r="A141" t="str">
        <v>INSERT EDGE IF NOT EXISTS applied_to(Version, Maturity, Active) VALUES "M1051"-&gt;"A00022":("1.0", 100, TRUE);</v>
      </c>
    </row>
    <row r="142" spans="1:1" x14ac:dyDescent="0.2">
      <c r="A142" t="str">
        <v>INSERT EDGE IF NOT EXISTS applied_to(Version, Maturity, Active) VALUES "M1037"-&gt;"A00023":("1.0", 100, TRUE);</v>
      </c>
    </row>
    <row r="143" spans="1:1" x14ac:dyDescent="0.2">
      <c r="A143" t="str">
        <v>INSERT EDGE IF NOT EXISTS applied_to(Version, Maturity, Active) VALUES "M1035"-&gt;"A00023":("1.0", 50, TRUE);</v>
      </c>
    </row>
    <row r="144" spans="1:1" x14ac:dyDescent="0.2">
      <c r="A144" t="str">
        <v>INSERT EDGE IF NOT EXISTS applied_to(Version, Maturity, Active) VALUES "M1032"-&gt;"A00023":("1.0", 100, TRUE);</v>
      </c>
    </row>
    <row r="145" spans="1:1" x14ac:dyDescent="0.2">
      <c r="A145" t="str">
        <v>INSERT EDGE IF NOT EXISTS applied_to(Version, Maturity, Active) VALUES "M1027"-&gt;"A00023":("1.0", 100, TRUE);</v>
      </c>
    </row>
    <row r="146" spans="1:1" x14ac:dyDescent="0.2">
      <c r="A146" t="str">
        <v>INSERT EDGE IF NOT EXISTS applied_to(Version, Maturity, Active) VALUES "M1020"-&gt;"A00023":("1.0", 100, TRUE);</v>
      </c>
    </row>
    <row r="147" spans="1:1" x14ac:dyDescent="0.2">
      <c r="A147" t="str">
        <v>INSERT EDGE IF NOT EXISTS applied_to(Version, Maturity, Active) VALUES "M1051"-&gt;"A00023":("1.0", 100, TRUE);</v>
      </c>
    </row>
    <row r="148" spans="1:1" x14ac:dyDescent="0.2">
      <c r="A148" t="str">
        <v>INSERT EDGE IF NOT EXISTS applied_to(Version, Maturity, Active) VALUES "M1037"-&gt;"A00024":("1.0", 100, TRUE);</v>
      </c>
    </row>
    <row r="149" spans="1:1" x14ac:dyDescent="0.2">
      <c r="A149" t="str">
        <v>INSERT EDGE IF NOT EXISTS applied_to(Version, Maturity, Active) VALUES "M1035"-&gt;"A00024":("1.0", 50, TRUE);</v>
      </c>
    </row>
    <row r="150" spans="1:1" x14ac:dyDescent="0.2">
      <c r="A150" t="str">
        <v>INSERT EDGE IF NOT EXISTS applied_to(Version, Maturity, Active) VALUES "M1032"-&gt;"A00024":("1.0", 100, TRUE);</v>
      </c>
    </row>
    <row r="151" spans="1:1" x14ac:dyDescent="0.2">
      <c r="A151" t="str">
        <v>INSERT EDGE IF NOT EXISTS applied_to(Version, Maturity, Active) VALUES "M1027"-&gt;"A00024":("1.0", 100, TRUE);</v>
      </c>
    </row>
    <row r="152" spans="1:1" x14ac:dyDescent="0.2">
      <c r="A152" t="str">
        <v>INSERT EDGE IF NOT EXISTS applied_to(Version, Maturity, Active) VALUES "M1020"-&gt;"A00024":("1.0", 100, TRUE);</v>
      </c>
    </row>
    <row r="153" spans="1:1" x14ac:dyDescent="0.2">
      <c r="A153" t="str">
        <v>INSERT EDGE IF NOT EXISTS applied_to(Version, Maturity, Active) VALUES "M1051"-&gt;"A00024":("1.0", 100, TRUE);</v>
      </c>
    </row>
    <row r="154" spans="1:1" x14ac:dyDescent="0.2">
      <c r="A154" t="str">
        <v>INSERT EDGE IF NOT EXISTS applied_to(Version, Maturity, Active) VALUES "M1037"-&gt;"A00025":("1.0", 100, TRUE);</v>
      </c>
    </row>
    <row r="155" spans="1:1" x14ac:dyDescent="0.2">
      <c r="A155" t="str">
        <v>INSERT EDGE IF NOT EXISTS applied_to(Version, Maturity, Active) VALUES "M1035"-&gt;"A00025":("1.0", 50, TRUE);</v>
      </c>
    </row>
    <row r="156" spans="1:1" x14ac:dyDescent="0.2">
      <c r="A156" t="str">
        <v>INSERT EDGE IF NOT EXISTS applied_to(Version, Maturity, Active) VALUES "M1032"-&gt;"A00025":("1.0", 100, TRUE);</v>
      </c>
    </row>
    <row r="157" spans="1:1" x14ac:dyDescent="0.2">
      <c r="A157" t="str">
        <v>INSERT EDGE IF NOT EXISTS applied_to(Version, Maturity, Active) VALUES "M1027"-&gt;"A00025":("1.0", 100, TRUE);</v>
      </c>
    </row>
    <row r="158" spans="1:1" x14ac:dyDescent="0.2">
      <c r="A158" t="str">
        <v>INSERT EDGE IF NOT EXISTS applied_to(Version, Maturity, Active) VALUES "M1020"-&gt;"A00025":("1.0", 100, TRUE);</v>
      </c>
    </row>
    <row r="159" spans="1:1" x14ac:dyDescent="0.2">
      <c r="A159" t="str">
        <v>INSERT EDGE IF NOT EXISTS applied_to(Version, Maturity, Active) VALUES "M1051"-&gt;"A00025":("1.0", 100, TRUE);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Assets</vt:lpstr>
      <vt:lpstr>OS_types</vt:lpstr>
      <vt:lpstr>Platforms</vt:lpstr>
      <vt:lpstr>Params</vt:lpstr>
      <vt:lpstr>Device_Types</vt:lpstr>
      <vt:lpstr>Segments</vt:lpstr>
      <vt:lpstr>Network</vt:lpstr>
      <vt:lpstr>DB Script - Connects</vt:lpstr>
      <vt:lpstr>Mitigations</vt:lpstr>
      <vt:lpstr>DB_Script - Mitigations</vt:lpstr>
      <vt:lpstr>INSERT1</vt:lpstr>
      <vt:lpstr>INSERT10</vt:lpstr>
      <vt:lpstr>INSERT11</vt:lpstr>
      <vt:lpstr>INSERT12</vt:lpstr>
      <vt:lpstr>INSERT2</vt:lpstr>
      <vt:lpstr>INSERT3</vt:lpstr>
      <vt:lpstr>INSERT4</vt:lpstr>
      <vt:lpstr>INSERT5</vt:lpstr>
      <vt:lpstr>INSERT6</vt:lpstr>
      <vt:lpstr>INSERT7</vt:lpstr>
      <vt:lpstr>INSERT8</vt:lpstr>
      <vt:lpstr>INSERT9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Smirnov</dc:creator>
  <cp:lastModifiedBy>Konstantin Smirnov</cp:lastModifiedBy>
  <dcterms:created xsi:type="dcterms:W3CDTF">2025-11-08T20:13:19Z</dcterms:created>
  <dcterms:modified xsi:type="dcterms:W3CDTF">2026-03-06T17:00:48Z</dcterms:modified>
</cp:coreProperties>
</file>